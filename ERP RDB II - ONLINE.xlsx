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Resumen" sheetId="2" r:id="rId6"/>
    <sheet state="visible" name="MaestroLotes" sheetId="3" r:id="rId7"/>
    <sheet state="visible" name="Clientes" sheetId="4" r:id="rId8"/>
    <sheet state="visible" name="DetalleCostos" sheetId="5" r:id="rId9"/>
    <sheet state="visible" name="FlujoCajaACTUAL" sheetId="6" r:id="rId10"/>
    <sheet state="visible" name="FlujodeCaja FUTURO" sheetId="7" r:id="rId11"/>
    <sheet state="visible" name="ComputoPrivadoNico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tc={58d38bcb-646f-4415-8870-446a96b57d1f}</author>
    <author>tc={88afc59b-6a5f-4ede-9a1a-28bd43acf6c8}</author>
  </authors>
  <commentList>
    <comment authorId="0" xr:uid="{58d38bcb-646f-4415-8870-446a96b57d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Calcular
</t>
      </text>
    </comment>
    <comment authorId="1" xr:uid="{88afc59b-6a5f-4ede-9a1a-28bd43acf6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UF cada una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tc={5c0b72b5-0eb1-4b3c-8289-c3e58c1bd595}</author>
    <author>tc={a599697d-6369-41a2-b34d-1ec162f7358a}</author>
  </authors>
  <commentList>
    <comment authorId="0" xr:uid="{5c0b72b5-0eb1-4b3c-8289-c3e58c1bd595}" ref="F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Cotizar
</t>
      </text>
    </comment>
    <comment authorId="1" xr:uid="{a599697d-6369-41a2-b34d-1ec162f7358a}" ref="F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https://www.mercadolibre.com.ar/hidrante-completo-c-enchufe-a-pvc-dn75mm-hierro-ductil/up/MLAU3741212223
</t>
      </text>
    </comment>
  </commentList>
</comments>
</file>

<file path=xl/sharedStrings.xml><?xml version="1.0" encoding="utf-8"?>
<sst xmlns="http://schemas.openxmlformats.org/spreadsheetml/2006/main" count="2143" uniqueCount="537">
  <si>
    <t>GUÍA PARA USAR ESTE MODELO EN GOOGLE SHEETS</t>
  </si>
  <si>
    <t>MODELO DE PROYECTO — RINCÓN DEL BOSQUE II  (VERSIÓN GOOGLE SHEETS)</t>
  </si>
  <si>
    <t>👥  CLIENTES DEL PROYECTO — RINCÓN DEL BOSQUE II</t>
  </si>
  <si>
    <t>🏘  MAESTRO DE LOTES — RDB II · PARCELA MADRE + UNIDADES FUNCIONALES</t>
  </si>
  <si>
    <t>ACS Ingeniería Constructora S.A.S. · Rincón del Bosque II · Leé esto antes de empezar</t>
  </si>
  <si>
    <t>Cargá solo: Nombre · Lote (desplegable) · Contrato N° · Total Contrato · Estado. ID, Sup., Cobrado, Saldo, Comisión y Neto se calculan solos. El Cobrado lee el FlujoCaja por la Ref. de contrato; cobros fuera del flujo van en 'Cobro manual' (col. O). El %% de comisión global está en L3.</t>
  </si>
  <si>
    <t>ACS Ingeniería Constructora S.A.S. · Panel de control exclusivo de RDB II · 3 sectores (Sector 1, Sector Sur, Mangrullo Este)</t>
  </si>
  <si>
    <t xml:space="preserve">  1) CÓMO SUBIRLO A GOOGLE SHEETS</t>
  </si>
  <si>
    <t>1. Google Drive - Nuevo - Subir archivo - elegí este .xlsx.</t>
  </si>
  <si>
    <t>2. Clic derecho sobre el archivo - Abrir con - Hojas de cálculo de Google.</t>
  </si>
  <si>
    <t>3. Archivo - Guardar como Hojas de cálculo de Google (editable online y compartible).</t>
  </si>
  <si>
    <t>4. Trabajás la copia de Google; el .xlsx queda de respaldo.</t>
  </si>
  <si>
    <t>% Comisión →</t>
  </si>
  <si>
    <t xml:space="preserve">  2) DÓLAR - ACTUALIZACIÓN AUTOMÁTICA</t>
  </si>
  <si>
    <t>El dólar está en la hoja Resumen, celda G6 (hoy a mano en 1515).</t>
  </si>
  <si>
    <t>Para que se actualice solo, copiá una de estas fórmulas en G6:</t>
  </si>
  <si>
    <t>ID</t>
  </si>
  <si>
    <t>DÓLAR OFICIAL (confiable):</t>
  </si>
  <si>
    <t>Apellido y Nombre</t>
  </si>
  <si>
    <t>DNI/CUIT</t>
  </si>
  <si>
    <t>FÓRMULA:  =GOOGLEFINANCE("CURRENCY:USDARS")</t>
  </si>
  <si>
    <t>Teléfono</t>
  </si>
  <si>
    <t>Email</t>
  </si>
  <si>
    <t>Lote (Nomenclatura)</t>
  </si>
  <si>
    <t>Sup. Lote (m²)</t>
  </si>
  <si>
    <t>Contrato N°</t>
  </si>
  <si>
    <t>Total Contrato
(USD)</t>
  </si>
  <si>
    <t>Cobrado
(USD)</t>
  </si>
  <si>
    <t>DÓLAR BLUE (vía API pública, puede cambiar con el tiempo):</t>
  </si>
  <si>
    <t>Saldo
(USD)</t>
  </si>
  <si>
    <t>Comisión
(USD)</t>
  </si>
  <si>
    <t>Neto a Dueños
(USD)</t>
  </si>
  <si>
    <t>FÓRMULA:  =VALUE(REGEXEXTRACT(IMPORTDATA("https://api.bluelytics.com.ar/v2/latest"),"value_sell""?:\s*([0-9.]+)"))</t>
  </si>
  <si>
    <t>Estado Escritura</t>
  </si>
  <si>
    <t>Si la del blue falla, dejá el valor a mano: es lo más seguro.</t>
  </si>
  <si>
    <t>Cobro manual
(USD)</t>
  </si>
  <si>
    <t>% Com.</t>
  </si>
  <si>
    <t xml:space="preserve">  3) BOTONES DE NAVEGACIÓN</t>
  </si>
  <si>
    <t>La barra de botones del Dashboard usa enlaces internos.</t>
  </si>
  <si>
    <t>Moreira (Analia y Casi)</t>
  </si>
  <si>
    <t>Si algún botón no salta tras la conversión:</t>
  </si>
  <si>
    <t xml:space="preserve">  - Usá las pestañas de abajo, o</t>
  </si>
  <si>
    <t xml:space="preserve">  DATOS DEL PROYECTO</t>
  </si>
  <si>
    <t xml:space="preserve">  - Rehacelo: clic en la celda - Insertar - Enlace - Hojas de este documento.</t>
  </si>
  <si>
    <t>24-2-3-Ch8-P12</t>
  </si>
  <si>
    <t xml:space="preserve">  4) LO QUE FUNCIONA IGUAL (no tocar)</t>
  </si>
  <si>
    <t>DÓLAR AUTO (Google Sheets)</t>
  </si>
  <si>
    <t>Nombre del Proyecto</t>
  </si>
  <si>
    <t>OK  SUMIFS, INDEX/MATCH, COUNTIF, SUBTOTAL, IFERROR.</t>
  </si>
  <si>
    <t>Rincón del Bosque II — Familia Maler</t>
  </si>
  <si>
    <t>OK  El descuento automático al eliminar filas (Lotes Subdivididos).</t>
  </si>
  <si>
    <t>OK  Vínculos entre hojas (lote-cliente-flujo-dashboard).</t>
  </si>
  <si>
    <t>OK  Desplegables de estado y semáforos de color.</t>
  </si>
  <si>
    <t>Valor Dólar (ARS)</t>
  </si>
  <si>
    <t>OK  Conversión USD a ARS con el dólar de G6.</t>
  </si>
  <si>
    <t>Pegá en Resumen!G6 para dólar oficial auto:</t>
  </si>
  <si>
    <t xml:space="preserve">  5) AL COMPARTIR</t>
  </si>
  <si>
    <t>BOL-012</t>
  </si>
  <si>
    <t>Sector</t>
  </si>
  <si>
    <t>Ubicación</t>
  </si>
  <si>
    <t>- Editor solo a quien cargue datos; Lector para el resto.</t>
  </si>
  <si>
    <t>- Esta es la versión SIN datos sensibles (sin costos reales, márgenes ni socios).</t>
  </si>
  <si>
    <t>- Cambiás G6 y se recalcula todo el modelo.</t>
  </si>
  <si>
    <t>Parcela Madre</t>
  </si>
  <si>
    <t>Unidad / Subdiv.</t>
  </si>
  <si>
    <t>Fecha de Inicio</t>
  </si>
  <si>
    <t>Nomenclatura Catastral</t>
  </si>
  <si>
    <t>Sup. Oficial
(m²)</t>
  </si>
  <si>
    <t>Sup. Comercial
(m²)</t>
  </si>
  <si>
    <t>Precio Lista
(USD)</t>
  </si>
  <si>
    <t>Responsable</t>
  </si>
  <si>
    <t>Precio Lista
(ARS)</t>
  </si>
  <si>
    <t xml:space="preserve"> ACS INGENIERÍA CONSTRUCTORA S-A-S / Vaccaro Nicolas Augusto</t>
  </si>
  <si>
    <t>Estado</t>
  </si>
  <si>
    <t>Fecha Estimada Fin</t>
  </si>
  <si>
    <t>Cliente Asignado</t>
  </si>
  <si>
    <t>2027 - 01</t>
  </si>
  <si>
    <t>Saldo Pend.</t>
  </si>
  <si>
    <t>Escriturado</t>
  </si>
  <si>
    <t>Para blue: ver hoja Instrucciones</t>
  </si>
  <si>
    <t>Tipo</t>
  </si>
  <si>
    <t>N° de Plano / Mensura</t>
  </si>
  <si>
    <t>Anticipo 50%
(USD)</t>
  </si>
  <si>
    <t>223-24</t>
  </si>
  <si>
    <t>Valor Cuota
inicial (USD)</t>
  </si>
  <si>
    <t>Estado del Proyecto</t>
  </si>
  <si>
    <t>Total 12 Cuotas
c/ CAC (USD)</t>
  </si>
  <si>
    <t>En Curso</t>
  </si>
  <si>
    <t>TOTAL Financiado
(USD)</t>
  </si>
  <si>
    <t>UF eq.</t>
  </si>
  <si>
    <t>Pendiente</t>
  </si>
  <si>
    <t>PLANTAR VALOR $/m²</t>
  </si>
  <si>
    <t>Daddona (Luciano y Natalia)</t>
  </si>
  <si>
    <t xml:space="preserve">  ▼ SECTOR I — Chacra 08 - P8 a 22</t>
  </si>
  <si>
    <t xml:space="preserve">  INDICADORES CONSOLIDADOS DEL PROYECTO</t>
  </si>
  <si>
    <t>24-2-3-Ch8-P13</t>
  </si>
  <si>
    <t>Anticipo</t>
  </si>
  <si>
    <t xml:space="preserve">  🏘  INVENTARIO DE LOTES COMPLETOS</t>
  </si>
  <si>
    <t>Cuotas (cantidad)</t>
  </si>
  <si>
    <t>BOL-013</t>
  </si>
  <si>
    <t xml:space="preserve">Parcelas madres a comercializar (-2 Ludgardo - 1 RF- 1AV, total Mº 49) </t>
  </si>
  <si>
    <t>Madres con oferta activa</t>
  </si>
  <si>
    <t>Lotes vendidos (total)</t>
  </si>
  <si>
    <t>CAC mensual estim.</t>
  </si>
  <si>
    <t>SECTOR 1</t>
  </si>
  <si>
    <t>P8</t>
  </si>
  <si>
    <t>PARCELA MADRE</t>
  </si>
  <si>
    <t>24-2-3-Ch8-P8</t>
  </si>
  <si>
    <t>Virginia</t>
  </si>
  <si>
    <t>24-2-3-Ch8-P14-UFA</t>
  </si>
  <si>
    <t>BOL-014A</t>
  </si>
  <si>
    <t>—</t>
  </si>
  <si>
    <t>sin dominio público (P20) · cada madre = 1 lote</t>
  </si>
  <si>
    <t>UF</t>
  </si>
  <si>
    <t>madres con unidades a la venta</t>
  </si>
  <si>
    <t>P12-P13 enteros · P14-P15 por 2/2 UF</t>
  </si>
  <si>
    <t>Permutadas</t>
  </si>
  <si>
    <t>Mariel</t>
  </si>
  <si>
    <t>No comerciales</t>
  </si>
  <si>
    <t>24-2-3-Ch8-P14-UFB</t>
  </si>
  <si>
    <t>Total lotes completos activos</t>
  </si>
  <si>
    <t>BOL-014B</t>
  </si>
  <si>
    <t>UF Sector 1 / Sur</t>
  </si>
  <si>
    <t>PARCELA MADRE UF</t>
  </si>
  <si>
    <t>24-2-3-Ch8-P8D</t>
  </si>
  <si>
    <t xml:space="preserve">Michael </t>
  </si>
  <si>
    <t>24-2-3-Ch8-P15-UFB</t>
  </si>
  <si>
    <t>BOL-015B</t>
  </si>
  <si>
    <t>Permutada</t>
  </si>
  <si>
    <t>Albornoz</t>
  </si>
  <si>
    <t/>
  </si>
  <si>
    <t xml:space="preserve">  🔢  INVENTARIO DE FRACCIONAMIENTO EN UF (parcelas de 450 m² promedio)</t>
  </si>
  <si>
    <t>UF disponibles</t>
  </si>
  <si>
    <t>UF vendidas</t>
  </si>
  <si>
    <t>UF totales en listado</t>
  </si>
  <si>
    <t>24-2-3-Ch8-P8C</t>
  </si>
  <si>
    <t xml:space="preserve">Disponible UF </t>
  </si>
  <si>
    <t xml:space="preserve">  💰  VENTAS, COSTOS Y RESULTADO</t>
  </si>
  <si>
    <t>Entera 900 / Fondeo</t>
  </si>
  <si>
    <t>VENTA BRUTA (USD)</t>
  </si>
  <si>
    <t xml:space="preserve">COSTOS NETOS ESTIMADOS (USD) OBRA TOTAL + % DE COMISIÓN Y HONORARIOS </t>
  </si>
  <si>
    <t>24-2-3-Ch8-P8A</t>
  </si>
  <si>
    <t>GANANCIA NETA ESTIMADA (USD)</t>
  </si>
  <si>
    <t>-</t>
  </si>
  <si>
    <t>UF A</t>
  </si>
  <si>
    <t>24-2-3-Ch8-P8-M900C-UFA</t>
  </si>
  <si>
    <t>Ganancia Neta Ventas Actuales</t>
  </si>
  <si>
    <t>Cobrado dueños  (USD)</t>
  </si>
  <si>
    <t>Saldo por Cobrar (USD)</t>
  </si>
  <si>
    <t>Entera Mza13 (referencia)</t>
  </si>
  <si>
    <t>UF B</t>
  </si>
  <si>
    <t>24-2-3-Ch8-P8-M900C-UFB</t>
  </si>
  <si>
    <t>ingresado a caja</t>
  </si>
  <si>
    <t>Editá estas celdas y toda la tabla, los totales y el dashboard se recalculan solos. Precios vendidos, permutas y valores fijos (P9+P10, casa) no se tocan.</t>
  </si>
  <si>
    <t>P9</t>
  </si>
  <si>
    <t>Completa</t>
  </si>
  <si>
    <t>24-2-3-Ch8-P9</t>
  </si>
  <si>
    <t>Total Presupuesto (USD) SI,II,III</t>
  </si>
  <si>
    <t>Disponible</t>
  </si>
  <si>
    <t>100% del proyecto</t>
  </si>
  <si>
    <t>cubierto con lotes</t>
  </si>
  <si>
    <t>necesario en efectivo</t>
  </si>
  <si>
    <t>ya pagado</t>
  </si>
  <si>
    <t>falta pagar</t>
  </si>
  <si>
    <t>P10</t>
  </si>
  <si>
    <t>24-2-3-Ch8-P10</t>
  </si>
  <si>
    <t xml:space="preserve">  💳  VENTA FINANCIADA (anticipo 50% + 12 cuotas ajustadas por CAC) — sobre lotes disponibles</t>
  </si>
  <si>
    <t>P11</t>
  </si>
  <si>
    <t>Total Anticipos 50% (USD)</t>
  </si>
  <si>
    <t>Total Cuotas c/ CAC (USD)</t>
  </si>
  <si>
    <t>TOTAL A RECAUDAR Financiado (USD)</t>
  </si>
  <si>
    <t>Nico Gestión / Flia Santoro</t>
  </si>
  <si>
    <t>si se venden todos los disponibles</t>
  </si>
  <si>
    <t>12 cuotas ajustadas</t>
  </si>
  <si>
    <t>anticipos + cuotas</t>
  </si>
  <si>
    <t>Valor Contado disponibles (USD)</t>
  </si>
  <si>
    <t>Extra por financiación (USD)</t>
  </si>
  <si>
    <t>% Incremento financiado</t>
  </si>
  <si>
    <t>P12</t>
  </si>
  <si>
    <t xml:space="preserve">PARCELA MADRE </t>
  </si>
  <si>
    <t>Vendido P.C</t>
  </si>
  <si>
    <t>P13</t>
  </si>
  <si>
    <t>precio de lista</t>
  </si>
  <si>
    <t>NO</t>
  </si>
  <si>
    <t>P14</t>
  </si>
  <si>
    <t xml:space="preserve">24-2-3-Ch8-P14 </t>
  </si>
  <si>
    <t>Vendido UF</t>
  </si>
  <si>
    <t>P16</t>
  </si>
  <si>
    <t>24-2-3-Ch8-P16</t>
  </si>
  <si>
    <t>P15</t>
  </si>
  <si>
    <t>24-2-3-Ch8-P15-UFA</t>
  </si>
  <si>
    <t xml:space="preserve">Santoro Demian Iván </t>
  </si>
  <si>
    <t>Michael (a liquidar)</t>
  </si>
  <si>
    <t>TOTALES</t>
  </si>
  <si>
    <t>24-2-3-Ch8-P16-UFA</t>
  </si>
  <si>
    <t>24-2-3-Ch8-P16-UFB</t>
  </si>
  <si>
    <t>🧾  DETALLE DE COSTOS — RDB II · PRESUPUESTO, ABONADO Y SALDO</t>
  </si>
  <si>
    <t>Cargá el monto abonado y el saldo se descuenta solo · plantilla libre (los totales suman siempre)</t>
  </si>
  <si>
    <t>P17</t>
  </si>
  <si>
    <t>24-2-3-Ch8-P17</t>
  </si>
  <si>
    <t>Rubro / Concepto</t>
  </si>
  <si>
    <t>Ruta 16
(USD)</t>
  </si>
  <si>
    <t>Sector Sur
(USD)</t>
  </si>
  <si>
    <t>Mangrullo
(USD)</t>
  </si>
  <si>
    <t>TOTAL 100%
(USD)</t>
  </si>
  <si>
    <t>Permuta
(USD)</t>
  </si>
  <si>
    <t>Efectivo
a pagar (USD)</t>
  </si>
  <si>
    <t>Abonado
(USD)</t>
  </si>
  <si>
    <t>Saldo
Pendiente (USD)</t>
  </si>
  <si>
    <t>Comentario</t>
  </si>
  <si>
    <t xml:space="preserve">  ▼ INFRAESTRUCTURA — POR SECTOR (Ruta 16 · Sector Sur · Mangrullo)</t>
  </si>
  <si>
    <t>24-2-3-Ch8-P17-UFA</t>
  </si>
  <si>
    <t>Materiales energía eléctrica</t>
  </si>
  <si>
    <t>Transformadores, cableado</t>
  </si>
  <si>
    <t>Mano de obra redes de servicios</t>
  </si>
  <si>
    <t>Tendido de redes</t>
  </si>
  <si>
    <t>24-2-3-Ch8-P17-UFB</t>
  </si>
  <si>
    <t>Mano de obra limpieza + camino</t>
  </si>
  <si>
    <t>Apertura, destronque, ripio</t>
  </si>
  <si>
    <t xml:space="preserve">  ▼ OTROS COSTOS Y RESERVAS (agregá lo que necesites)</t>
  </si>
  <si>
    <t>Reserva general de proyecto</t>
  </si>
  <si>
    <t>P18</t>
  </si>
  <si>
    <t>Reserva / imprevistos</t>
  </si>
  <si>
    <t>24-2-3-Ch8-P18</t>
  </si>
  <si>
    <t>Ajuste s/ presupuesto original</t>
  </si>
  <si>
    <t>Diferencia detectada</t>
  </si>
  <si>
    <r>
      <rPr>
        <rFont val="Calibri"/>
        <b/>
        <color rgb="FFFFFFFF"/>
        <sz val="14.0"/>
      </rPr>
      <t xml:space="preserve">Curva de certificación de obra (%) </t>
    </r>
    <r>
      <rPr>
        <rFont val="Calibri"/>
        <b/>
        <color rgb="FFFFFFFF"/>
        <sz val="14.0"/>
        <u/>
      </rPr>
      <t>SII</t>
    </r>
  </si>
  <si>
    <t>24-2-3-Ch8-P18-UFA</t>
  </si>
  <si>
    <t>24-2-3-Ch8-P18-UFB</t>
  </si>
  <si>
    <t>P19</t>
  </si>
  <si>
    <t>24-2-3-Ch8-P19</t>
  </si>
  <si>
    <t>Vaccaro / ACS</t>
  </si>
  <si>
    <t xml:space="preserve">  ▼ SECTOR II — Manzanas 14, 15, 16 + Quinta 2</t>
  </si>
  <si>
    <t>TOTALES (presupuesto · permuta · efectivo · abonado · saldo)</t>
  </si>
  <si>
    <t xml:space="preserve">SECTOR SUR - MZA 14 </t>
  </si>
  <si>
    <t>Mza14-P3</t>
  </si>
  <si>
    <t>24-2-3-Mz14-P3</t>
  </si>
  <si>
    <t>Permuta equivalente en lotes (a USD 30.000 c/u):</t>
  </si>
  <si>
    <t>SECTOR SUR</t>
  </si>
  <si>
    <t>24-2-3-Mz14-P3-UFA</t>
  </si>
  <si>
    <t>24-2-3-Mz14-P3-UFB</t>
  </si>
  <si>
    <t>Mza14-P4</t>
  </si>
  <si>
    <t>24-2-3-Mz14-P4</t>
  </si>
  <si>
    <t>24-2-3-Mz14-P4-UFA</t>
  </si>
  <si>
    <t>24-2-3-Mz14-P4-UFB</t>
  </si>
  <si>
    <t>Mza14-P5</t>
  </si>
  <si>
    <t>24-2-3-Mz14-P5</t>
  </si>
  <si>
    <t>24-2-3-Mz14-P5-UFA</t>
  </si>
  <si>
    <t>24-2-3-Mz14-P5-UFB</t>
  </si>
  <si>
    <t>Mza14-P6</t>
  </si>
  <si>
    <t>24-2-3-Mz14-P6</t>
  </si>
  <si>
    <t>No comercial</t>
  </si>
  <si>
    <t>x</t>
  </si>
  <si>
    <t>Mza14-P7</t>
  </si>
  <si>
    <t>24-2-3-Mz14-P7</t>
  </si>
  <si>
    <t>24-2-3-Mz14-P7-UFA</t>
  </si>
  <si>
    <t>24-2-3-Mz14-P7-UFB</t>
  </si>
  <si>
    <t>💰  FLUJO DE CAJA DEL PROYECTO</t>
  </si>
  <si>
    <t>Movimientos de ingreso y egreso EXCLUSIVOS de Rincón del Bosque II</t>
  </si>
  <si>
    <t>Fecha</t>
  </si>
  <si>
    <t>Concepto</t>
  </si>
  <si>
    <t>Contrato / Ref.</t>
  </si>
  <si>
    <t>Ingreso (USD)</t>
  </si>
  <si>
    <t>Egreso (USD)</t>
  </si>
  <si>
    <t>Venta parcela completa - Moreira (P12) — NETO a dueños</t>
  </si>
  <si>
    <t>SECTOR SUR MZA 15</t>
  </si>
  <si>
    <t>Cobro Cliente</t>
  </si>
  <si>
    <t>Mza15-P1</t>
  </si>
  <si>
    <t>24-2-3-Mz15-P1</t>
  </si>
  <si>
    <t>Venta parcela completa - Daddona (P13) — NETO a dueños</t>
  </si>
  <si>
    <t>Venta media parcela (UF) - Virginia (P14-UFA) — NETO a dueños</t>
  </si>
  <si>
    <t>Venta media parcela (UF) - Mariel (P14-UFB) - 50% a cuenta — NETO a dueños</t>
  </si>
  <si>
    <t xml:space="preserve">Vaccaro Gestión </t>
  </si>
  <si>
    <t>Venta media parcela (UF) - Michael (P15-UFB) - completo — NETO a dueños</t>
  </si>
  <si>
    <t>RESUMEN ANTERIOR</t>
  </si>
  <si>
    <t>Estudio ambiental (RDB I + II)</t>
  </si>
  <si>
    <t>Gasto General</t>
  </si>
  <si>
    <t>AMB</t>
  </si>
  <si>
    <t>Planos redes de servicios</t>
  </si>
  <si>
    <t>PLAN</t>
  </si>
  <si>
    <t>Alquiler 35 hs retroexcavadora</t>
  </si>
  <si>
    <t>MAQ</t>
  </si>
  <si>
    <t>Mza15-P2</t>
  </si>
  <si>
    <t>Contrato personal volteo y limpieza (1)</t>
  </si>
  <si>
    <t>Pago Contratista</t>
  </si>
  <si>
    <t>24-2-3-Mz15-P2</t>
  </si>
  <si>
    <t>LIMP1</t>
  </si>
  <si>
    <t>Contrato personal volteo y limpieza (2)</t>
  </si>
  <si>
    <t>LIMP2</t>
  </si>
  <si>
    <t>Limpieza semana 1 (ARS 490,000 @ 1420)</t>
  </si>
  <si>
    <t>PESOS</t>
  </si>
  <si>
    <t>Limpieza semana 2 (ARS 598,000 @ 1420)</t>
  </si>
  <si>
    <t>Limpieza semana 3 (ARS 1,016,300 @ 1420)</t>
  </si>
  <si>
    <t>Limpieza semana 4 (ARS 800,000 @ 1420)</t>
  </si>
  <si>
    <t>Limpieza semana 5 (ARS 640,000 @ 1420)</t>
  </si>
  <si>
    <t>Limpieza semana 6 (ARS 498,730 @ 1420)</t>
  </si>
  <si>
    <t>Limpieza semana 7 (ARS 380,000 @ 1420)</t>
  </si>
  <si>
    <t>Escribanía boleto + cesión calles + tasa mensura (ARS 434,200 @ 1420)</t>
  </si>
  <si>
    <t>Pago Proveedor</t>
  </si>
  <si>
    <t>Materiales corralón Sector 1 - 1ª transferencia (ARS 2,103,079 @ 1420)</t>
  </si>
  <si>
    <t>Materiales corralón Sector 1 - 2ª transferencia (ARS 97,622 @ 1420)</t>
  </si>
  <si>
    <t>24-2-3-Mz15-P2-UFA</t>
  </si>
  <si>
    <t>Materiales corralón Sector 1 - 3ª transferencia (ARS 144,600 @ 1420)</t>
  </si>
  <si>
    <t>Materiales corralón Sector 1 - 4ª transferencia (ARS 147,000 @ 1420)</t>
  </si>
  <si>
    <t>Materiales electricidad 100% - Sector 1</t>
  </si>
  <si>
    <t>INFRA-EL</t>
  </si>
  <si>
    <t>Mano de obra redes - 1er 50% (Sector I)</t>
  </si>
  <si>
    <t>INFRA-MO</t>
  </si>
  <si>
    <t>Caminos y limpieza - 1er 50% (Sector I + Sector 2 etapa 1)</t>
  </si>
  <si>
    <t>INFRA-CAM</t>
  </si>
  <si>
    <t>Materiales extensión red de agua Sector 1 (estimado)</t>
  </si>
  <si>
    <t>INFRA-AGUA</t>
  </si>
  <si>
    <t>Mano de obra redes de servicio - 50% restante (Sector I)</t>
  </si>
  <si>
    <t>INFRA-MO2</t>
  </si>
  <si>
    <t>Caminos y limpieza - 50% restante (Sector I + Sector 2 etapa 1)</t>
  </si>
  <si>
    <t>INFRA-CAM2</t>
  </si>
  <si>
    <t>Pago arena utilizada S1 (monto a completar)</t>
  </si>
  <si>
    <t>SDAS</t>
  </si>
  <si>
    <t>Compra materiales sistema contra incendio (monto a completar)</t>
  </si>
  <si>
    <t>24-2-3-Mz15-P2-UFB</t>
  </si>
  <si>
    <t>SECTOR II — Materiales y mano de obra perforación</t>
  </si>
  <si>
    <t xml:space="preserve">Materiales corralón  (Pilares grueso, cemento, hierro del 8, 6, anticongelante, ladrillo) </t>
  </si>
  <si>
    <t>Mza15-P3</t>
  </si>
  <si>
    <t>24-2-3-Mz15-P3</t>
  </si>
  <si>
    <t xml:space="preserve">SALDO DISPONIBLE 14.162 EN: </t>
  </si>
  <si>
    <t>NICO</t>
  </si>
  <si>
    <t xml:space="preserve">ANA </t>
  </si>
  <si>
    <t>24-2-3-Mz15-P3-UFA</t>
  </si>
  <si>
    <t>24-2-3-Mz15-P3-UFB</t>
  </si>
  <si>
    <t>Mza15-P4</t>
  </si>
  <si>
    <t>24-2-3-Mz15-P4</t>
  </si>
  <si>
    <t>24-2-3-Mz15-P4-UFA</t>
  </si>
  <si>
    <t>24-2-3-Mz15-P4-UFB</t>
  </si>
  <si>
    <t>TOTALES DEL PERÍODO</t>
  </si>
  <si>
    <t>Mza15-P5</t>
  </si>
  <si>
    <t>24-2-3-Mz15-P5</t>
  </si>
  <si>
    <t>24-2-3-Mz15-P5-UFA</t>
  </si>
  <si>
    <t>24-2-3-Mz15-P5-UFB</t>
  </si>
  <si>
    <t>Mza15-P7</t>
  </si>
  <si>
    <t>24-2-3-Mz15-P7</t>
  </si>
  <si>
    <t>Venta media parcela (UF) - Michael (P15-UFB) -  NETO a dueños</t>
  </si>
  <si>
    <t>Vaccaro Gestión</t>
  </si>
  <si>
    <t>Venta media parcela (UF) - Santoro  (P15-UFA) -   NETO a dueños</t>
  </si>
  <si>
    <t xml:space="preserve">Venta parcela completa - Leonardo Ariel - </t>
  </si>
  <si>
    <t>Mza15-P8</t>
  </si>
  <si>
    <t>PARCELA MADRE + canal</t>
  </si>
  <si>
    <t>24-2-3-Mz15-P8</t>
  </si>
  <si>
    <t>Mza15-P9</t>
  </si>
  <si>
    <t>24-2-3-Mz15-P9</t>
  </si>
  <si>
    <t xml:space="preserve">       CÓMPUTO  — CONCILIACIÓN DE M² PERMUTADOS (VACCARO GESTIÓN + ACS)</t>
  </si>
  <si>
    <t>Derecho total 10.800 m² · Vaccaro Gestión: 5 × 1.800 = 9.000 · ACS por servicios: 2 × 900 = 1.800</t>
  </si>
  <si>
    <t>▼ 1) DERECHOS ACORDADOS</t>
  </si>
  <si>
    <t>Cantidad</t>
  </si>
  <si>
    <t>Sup. unit.</t>
  </si>
  <si>
    <t>Total m²</t>
  </si>
  <si>
    <t>Caminos y limpieza - 50% 2do restante (Sector I + Sector 2 etapa 1)</t>
  </si>
  <si>
    <t>1,800 m²</t>
  </si>
  <si>
    <t>?</t>
  </si>
  <si>
    <t>9,000.00 m²</t>
  </si>
  <si>
    <t>Madre frente ruta</t>
  </si>
  <si>
    <t>ACS por ejecución de servicios</t>
  </si>
  <si>
    <t>24-2-3-Mz15-P9-FR</t>
  </si>
  <si>
    <t>900 m²</t>
  </si>
  <si>
    <t>1,800.00 m²</t>
  </si>
  <si>
    <t>DERECHO TOTAL</t>
  </si>
  <si>
    <t>10,800.00 m²</t>
  </si>
  <si>
    <t xml:space="preserve">Perforación pozo profundo mano de obra y materiales (etapa 1, perforación y encamizado). </t>
  </si>
  <si>
    <t xml:space="preserve">Materiales extensión red de agua Sector 2 + 3  </t>
  </si>
  <si>
    <t>▼ 2) YA APLICADOS AL CÓMPUTO (vendidos/entregados)</t>
  </si>
  <si>
    <t xml:space="preserve">Materiales corralón Sector 1 (Pilares grueso, cemento, hierro del 8, 6, anticongelante, ladrillo) </t>
  </si>
  <si>
    <t>Nomenclatura</t>
  </si>
  <si>
    <t>Descripción</t>
  </si>
  <si>
    <t>m² aplicados</t>
  </si>
  <si>
    <t>Destino</t>
  </si>
  <si>
    <t>24-2-3-Ch8-P11</t>
  </si>
  <si>
    <t>Chacra 8 - Parcela 11 (completa)</t>
  </si>
  <si>
    <t xml:space="preserve">Adelanto 20% Extensión redes de servicios básicos (luz y agua) </t>
  </si>
  <si>
    <t>904.51 m²</t>
  </si>
  <si>
    <t>24-2-3-Mz15-P1-FR</t>
  </si>
  <si>
    <t>Mza15-P1 frente ruta (fracción)</t>
  </si>
  <si>
    <t>UF A (frente)</t>
  </si>
  <si>
    <t xml:space="preserve">Adelanto  35 % Camino (condición contrato base). </t>
  </si>
  <si>
    <t>1,858.51 m²</t>
  </si>
  <si>
    <t>24-2-3-Mz15-P9-FR-UFA</t>
  </si>
  <si>
    <t>TOTAL YA APLICADO</t>
  </si>
  <si>
    <t xml:space="preserve">Saldo 50% camino, total </t>
  </si>
  <si>
    <t>▼ 3) SALDO DEL DERECHO POR APLICAR</t>
  </si>
  <si>
    <t>Derecho total − Ya aplicado =</t>
  </si>
  <si>
    <t>8,941.49 m²</t>
  </si>
  <si>
    <t>▼ 4) PARCELAS ACTUALMENTE EN PODER DE VACCARO/ACS</t>
  </si>
  <si>
    <t>UF B (frente)</t>
  </si>
  <si>
    <t>24-2-3-Mz15-P9-FR-UFB</t>
  </si>
  <si>
    <t>Detalle</t>
  </si>
  <si>
    <t>m²</t>
  </si>
  <si>
    <t>Chacra 8 - P19 (madre)</t>
  </si>
  <si>
    <t>1,603.05 m²</t>
  </si>
  <si>
    <t>Vaccaro ACS</t>
  </si>
  <si>
    <t>24-2-3-Mz15-P1-FO</t>
  </si>
  <si>
    <t>Mza15-P1 fondo (resto)</t>
  </si>
  <si>
    <t>900.00 m²</t>
  </si>
  <si>
    <t>Mza15-P8 + canal (completa)</t>
  </si>
  <si>
    <t>24-2-3-Mz16-P1</t>
  </si>
  <si>
    <t>Mza16-P1 (madre)</t>
  </si>
  <si>
    <t>1,854.30 m²</t>
  </si>
  <si>
    <t>Madre fondo</t>
  </si>
  <si>
    <t>24-2-3-Mz15-P9-FO</t>
  </si>
  <si>
    <t>24-2-3-Qt2-P8</t>
  </si>
  <si>
    <t>Quinta 2 - P8 (madre)</t>
  </si>
  <si>
    <t>1,818.11 m²</t>
  </si>
  <si>
    <t>24-2-3-Mz13-P9</t>
  </si>
  <si>
    <t>Mangrullo Este - Mza13-P9 (madre)</t>
  </si>
  <si>
    <t>1,800.04 m²</t>
  </si>
  <si>
    <t>TOTAL EN PODER</t>
  </si>
  <si>
    <t>8,875.50 m²</t>
  </si>
  <si>
    <t>▼ 5) CONCILIACIÓN</t>
  </si>
  <si>
    <t>En poder − Saldo del derecho =</t>
  </si>
  <si>
    <t>UF A (fondo)</t>
  </si>
  <si>
    <t>24-2-3-Mz15-P9-FO-UFA</t>
  </si>
  <si>
    <t>-65.99 m²</t>
  </si>
  <si>
    <t>Total permutado (P11 + P19 + Mz15-P1 + Qt2-P8 + Mz16-P1 + Mz13-P9 + Mz13-P8)</t>
  </si>
  <si>
    <t>Cobro acordado Nico: 5 parcelas de 1.800 m² (las 5 VACCARO GESTIÓN)</t>
  </si>
  <si>
    <t>ACS por ejecución de servicios (P19 1.603,05 + 196,95 de P11)</t>
  </si>
  <si>
    <t>SALDO SIN ASIGNAR (707,56 de P11 + 48,44 exced.)</t>
  </si>
  <si>
    <t>UF B (fondo)</t>
  </si>
  <si>
    <t>24-2-3-Mz15-P9-FO-UFB</t>
  </si>
  <si>
    <t>fracción más cercana: UF Mza14-P7 (632,70 m²)</t>
  </si>
  <si>
    <t>Mza16-P1</t>
  </si>
  <si>
    <t>SECTOR SUR M16</t>
  </si>
  <si>
    <t>Mza16-P2</t>
  </si>
  <si>
    <t>PARCELA MADRE (CASA)</t>
  </si>
  <si>
    <t>24-2-3-Mz16-P2</t>
  </si>
  <si>
    <t>Casa + terreno 2.100 m²</t>
  </si>
  <si>
    <t>24-2-3-Mz16-P2-CASA</t>
  </si>
  <si>
    <t>Precio de referencia sin sumar vxm2 casa</t>
  </si>
  <si>
    <t>Parcela restante</t>
  </si>
  <si>
    <t>24-2-3-Mz16-P2-REST</t>
  </si>
  <si>
    <t>Mza16-P3</t>
  </si>
  <si>
    <t>24-2-3-Mz16-P3</t>
  </si>
  <si>
    <t>24-2-3-Mz16-P3-FR</t>
  </si>
  <si>
    <t>24-2-3-Mz16-P3-FR-UFA</t>
  </si>
  <si>
    <t>24-2-3-Mz16-P3-FR-UFB</t>
  </si>
  <si>
    <t>24-2-3-Mz16-P3-FO</t>
  </si>
  <si>
    <t>UF C (fondo)</t>
  </si>
  <si>
    <t>UF D (fondo)</t>
  </si>
  <si>
    <t>Qta2-P8</t>
  </si>
  <si>
    <t>24-2-3-Qt2-P9</t>
  </si>
  <si>
    <t>UF 8A (fondo)</t>
  </si>
  <si>
    <t>UF 8B (fondo)</t>
  </si>
  <si>
    <t>24-2-3-Qt2-P9-M1042</t>
  </si>
  <si>
    <t>Qta2-P9</t>
  </si>
  <si>
    <t>Completa 901</t>
  </si>
  <si>
    <t>24-2-3-Qt2-P9-M901</t>
  </si>
  <si>
    <t>24-2-3-Qt2-P9-FR-UFA</t>
  </si>
  <si>
    <t>24-2-3-Qt2-P9-UFB</t>
  </si>
  <si>
    <t>24-2-3-Qt2-P9-UFC</t>
  </si>
  <si>
    <t xml:space="preserve">  ▼ SECTOR III MANGRULLO ESTE </t>
  </si>
  <si>
    <t>MANGRULLO ESTE</t>
  </si>
  <si>
    <t>Mza13-P1</t>
  </si>
  <si>
    <t>PARCELA MADRE (entera: USD 40.190)</t>
  </si>
  <si>
    <t>24-2-3-Mz13-P1</t>
  </si>
  <si>
    <t>24-2-3-Mz13-P1-UFA</t>
  </si>
  <si>
    <t>24-2-3-Mz13-P1-UFB</t>
  </si>
  <si>
    <t>UF C</t>
  </si>
  <si>
    <t>24-2-3-Mz13-P1-UFC</t>
  </si>
  <si>
    <t>Mza13-P2</t>
  </si>
  <si>
    <t>PARCELA MADRE (entera: USD 40.809)</t>
  </si>
  <si>
    <t>24-2-3-Mz13-P2</t>
  </si>
  <si>
    <t>24-2-3-Mz13-P2-UFA</t>
  </si>
  <si>
    <t>24-2-3-Mz13-P2-UFB</t>
  </si>
  <si>
    <t>24-2-3-Mz13-P2-UFC</t>
  </si>
  <si>
    <t>Mza13-P3</t>
  </si>
  <si>
    <t>PARCELA MADRE (entera: USD 40.495)</t>
  </si>
  <si>
    <t>24-2-3-Mz13-P3</t>
  </si>
  <si>
    <t>24-2-3-Mz13-P3-UFA</t>
  </si>
  <si>
    <t>24-2-3-Mz13-P3-UFB</t>
  </si>
  <si>
    <t>24-2-3-Mz13-P3-UFC</t>
  </si>
  <si>
    <t>Mza13-P4</t>
  </si>
  <si>
    <t>PARCELA MADRE (entera: USD 40.498)</t>
  </si>
  <si>
    <t>24-2-3-Mz13-P4</t>
  </si>
  <si>
    <t>24-2-3-Mz13-P4-UFA</t>
  </si>
  <si>
    <t>24-2-3-Mz13-P4-UFB</t>
  </si>
  <si>
    <t>24-2-3-Mz13-P4-UFC</t>
  </si>
  <si>
    <t>Mza13-P5</t>
  </si>
  <si>
    <t>24-2-3-Mz13-P5</t>
  </si>
  <si>
    <t>24-2-3-Mz13-P5-UFA</t>
  </si>
  <si>
    <t>24-2-3-Mz13-P5-UFB</t>
  </si>
  <si>
    <t>24-2-3-Mz13-P5-UFC</t>
  </si>
  <si>
    <t>Mza13-P6</t>
  </si>
  <si>
    <t>PARCELA MADRE (entera: USD 40.494)</t>
  </si>
  <si>
    <t>24-2-3-Mz13-P6</t>
  </si>
  <si>
    <t>24-2-3-Mz13-P6-UFA</t>
  </si>
  <si>
    <t>24-2-3-Mz13-P6-UFB</t>
  </si>
  <si>
    <t>24-2-3-Mz13-P6-UFC</t>
  </si>
  <si>
    <t>Mza13-P7</t>
  </si>
  <si>
    <t>PARCELA MADRE (entera: USD 41.194)</t>
  </si>
  <si>
    <t>24-2-3-Mz13-P7</t>
  </si>
  <si>
    <t>24-2-3-Mz13-P7-UFA</t>
  </si>
  <si>
    <t>24-2-3-Mz13-P7-UFB</t>
  </si>
  <si>
    <t>24-2-3-Mz13-P7-UFC</t>
  </si>
  <si>
    <t>Mza13-P9</t>
  </si>
  <si>
    <t>Mza13-P8</t>
  </si>
  <si>
    <t>24-2-3-Mz13-P8</t>
  </si>
  <si>
    <t>Mza13-P10</t>
  </si>
  <si>
    <t>PARCELA MADRE (entera: USD 45.774)</t>
  </si>
  <si>
    <t>24-2-3-Mz13-P10</t>
  </si>
  <si>
    <t>24-2-3-Mz13-P10-UFA</t>
  </si>
  <si>
    <t>24-2-3-Mz13-P10-UFB</t>
  </si>
  <si>
    <t>24-2-3-Mz13-P10-UFC</t>
  </si>
  <si>
    <t>Mza13-P11</t>
  </si>
  <si>
    <t>PARCELA MADRE (entera: USD 41.360)</t>
  </si>
  <si>
    <t>24-2-3-Mz13-P11</t>
  </si>
  <si>
    <t>24-2-3-Mz13-P11-UFA</t>
  </si>
  <si>
    <t>24-2-3-Mz13-P11-UFB</t>
  </si>
  <si>
    <t>24-2-3-Mz13-P11-UFC</t>
  </si>
  <si>
    <t>Mza13-P12</t>
  </si>
  <si>
    <t>PARCELA MADRE (entera: USD 41.153)</t>
  </si>
  <si>
    <t>24-2-3-Mz13-P12</t>
  </si>
  <si>
    <t>24-2-3-Mz13-P12-UFA</t>
  </si>
  <si>
    <t>24-2-3-Mz13-P12-UFB</t>
  </si>
  <si>
    <t>24-2-3-Mz13-P12-UFC</t>
  </si>
  <si>
    <t xml:space="preserve">  ▼ NO COMERCIALES — DOMINIO PÚBLICO / GRANDES SUPERFICIES (orden cronológico)</t>
  </si>
  <si>
    <t>Mza14-P1</t>
  </si>
  <si>
    <t>24-2-3-Mz14-P1</t>
  </si>
  <si>
    <t>Mza14-P2</t>
  </si>
  <si>
    <t>24-2-3-Mz14-P2</t>
  </si>
  <si>
    <t>P20</t>
  </si>
  <si>
    <t>24-2-3-Ch8-P20</t>
  </si>
  <si>
    <t>Dominio público — reserva fiscal</t>
  </si>
  <si>
    <t>P7</t>
  </si>
  <si>
    <t>Espacio verde</t>
  </si>
  <si>
    <t>24-2-3-Ch8-P7</t>
  </si>
  <si>
    <t>Dominio público — espacio verde</t>
  </si>
  <si>
    <t>P21</t>
  </si>
  <si>
    <t>Arroyo</t>
  </si>
  <si>
    <t>24-2-3-Ch8-P21</t>
  </si>
  <si>
    <t>Dominio público — arroyo</t>
  </si>
  <si>
    <t>TOTALES (unidades comercializables con estado activo)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</si>
</sst>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;&quot;-$&quot;#,##0;\-"/>
    <numFmt numFmtId="165" formatCode="\$#,##0.00"/>
    <numFmt numFmtId="166" formatCode="0.0%"/>
    <numFmt numFmtId="167" formatCode="\$#,##0"/>
    <numFmt numFmtId="168" formatCode="mm-yyyy"/>
    <numFmt numFmtId="169" formatCode="#,##0.00&quot; m²&quot;"/>
  </numFmts>
  <fonts count="94">
    <font>
      <sz val="11.0"/>
      <color theme="1"/>
      <name val="Calibri"/>
      <scheme val="minor"/>
    </font>
    <font>
      <b/>
      <sz val="26.0"/>
      <color rgb="FFFFFFFF"/>
      <name val="Calibri"/>
    </font>
    <font>
      <b/>
      <sz val="24.0"/>
      <color rgb="FFFFFFFF"/>
      <name val="Calibri"/>
    </font>
    <font/>
    <font>
      <b/>
      <sz val="34.0"/>
      <color rgb="FFFFFFFF"/>
      <name val="Calibri"/>
    </font>
    <font>
      <b/>
      <sz val="13.0"/>
      <color rgb="FFFFFFFF"/>
      <name val="Calibri"/>
    </font>
    <font>
      <i/>
      <sz val="17.0"/>
      <color rgb="FFD6DCE4"/>
      <name val="Calibri"/>
    </font>
    <font>
      <sz val="11.0"/>
      <color theme="1"/>
      <name val="Calibri"/>
    </font>
    <font>
      <i/>
      <sz val="19.0"/>
      <color rgb="FFD6DCE4"/>
      <name val="Calibri"/>
    </font>
    <font>
      <color theme="1"/>
      <name val="Arial"/>
    </font>
    <font>
      <b/>
      <sz val="19.0"/>
      <color rgb="FFFFFFFF"/>
      <name val="Calibri"/>
    </font>
    <font>
      <sz val="17.0"/>
      <color rgb="FF000000"/>
      <name val="Calibri"/>
    </font>
    <font>
      <b/>
      <u/>
      <sz val="15.0"/>
      <color rgb="FFFFFFFF"/>
      <name val="Calibri"/>
    </font>
    <font>
      <i/>
      <sz val="13.0"/>
      <color rgb="FFE8F5E9"/>
      <name val="Calibri"/>
    </font>
    <font>
      <b/>
      <sz val="10.0"/>
      <color rgb="FF4E342E"/>
      <name val="Calibri"/>
    </font>
    <font>
      <b/>
      <sz val="11.0"/>
      <color rgb="FF1565C0"/>
      <name val="Calibri"/>
    </font>
    <font>
      <sz val="10.0"/>
      <color rgb="FF000000"/>
      <name val="Calibri"/>
    </font>
    <font>
      <b/>
      <sz val="14.0"/>
      <color rgb="FFFFFFFF"/>
      <name val="Calibri"/>
    </font>
    <font>
      <b/>
      <sz val="17.0"/>
      <color rgb="FF1B3A6B"/>
      <name val="Calibri"/>
    </font>
    <font>
      <b/>
      <sz val="15.0"/>
      <color rgb="FFFFFFFF"/>
      <name val="Calibri"/>
    </font>
    <font>
      <b/>
      <u/>
      <sz val="13.0"/>
      <color rgb="FF1B5E20"/>
      <name val="Calibri"/>
    </font>
    <font>
      <b/>
      <sz val="16.0"/>
      <color rgb="FFFFFFFF"/>
      <name val="Calibri"/>
    </font>
    <font>
      <color theme="1"/>
      <name val="Calibri"/>
      <scheme val="minor"/>
    </font>
    <font>
      <sz val="14.0"/>
      <color rgb="FF000000"/>
      <name val="Calibri"/>
    </font>
    <font>
      <sz val="14.0"/>
      <color rgb="FF0000FF"/>
      <name val="Calibri"/>
    </font>
    <font>
      <i/>
      <sz val="13.0"/>
      <color rgb="FF1B5E20"/>
      <name val="Calibri"/>
    </font>
    <font>
      <sz val="17.0"/>
      <color rgb="FF0000FF"/>
      <name val="Calibri"/>
    </font>
    <font>
      <sz val="15.0"/>
      <color rgb="FF7F8C9A"/>
      <name val="Calibri"/>
    </font>
    <font>
      <sz val="10.0"/>
      <color rgb="FF0000FF"/>
      <name val="Calibri"/>
    </font>
    <font>
      <b/>
      <sz val="15.0"/>
      <color rgb="FF1B3A6B"/>
      <name val="Calibri"/>
    </font>
    <font>
      <sz val="13.0"/>
      <color rgb="FFFFFFFF"/>
      <name val="Calibri"/>
    </font>
    <font>
      <sz val="18.0"/>
      <color rgb="FF0000FF"/>
      <name val="Calibri"/>
    </font>
    <font>
      <b/>
      <sz val="14.0"/>
      <color rgb="FF1E7E34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2.0"/>
      <color rgb="FF0000FF"/>
      <name val="Calibri"/>
    </font>
    <font>
      <b/>
      <sz val="18.0"/>
      <color rgb="FFFFFFFF"/>
      <name val="Calibri"/>
    </font>
    <font>
      <b/>
      <sz val="13.0"/>
      <color rgb="FF1B5E20"/>
      <name val="Calibri"/>
    </font>
    <font>
      <b/>
      <sz val="28.0"/>
      <color rgb="FF1B3A6B"/>
      <name val="Calibri"/>
    </font>
    <font>
      <b/>
      <sz val="12.0"/>
      <color rgb="FF1B5E20"/>
      <name val="Calibri"/>
    </font>
    <font>
      <b/>
      <sz val="28.0"/>
      <color rgb="FF2563A8"/>
      <name val="Calibri"/>
    </font>
    <font>
      <b/>
      <sz val="28.0"/>
      <color rgb="FF0E7C7B"/>
      <name val="Calibri"/>
    </font>
    <font>
      <b/>
      <sz val="9.0"/>
      <color rgb="FFFFFFFF"/>
      <name val="Calibri"/>
    </font>
    <font>
      <b/>
      <sz val="11.0"/>
      <color rgb="FF1B5E20"/>
      <name val="Calibri"/>
    </font>
    <font>
      <b/>
      <sz val="28.0"/>
      <color rgb="FFF39C12"/>
      <name val="Calibri"/>
    </font>
    <font>
      <sz val="13.0"/>
      <color rgb="FF212121"/>
      <name val="Calibri"/>
    </font>
    <font>
      <b/>
      <sz val="28.0"/>
      <color rgb="FF1E7E34"/>
      <name val="Calibri"/>
    </font>
    <font>
      <sz val="12.0"/>
      <color rgb="FF212121"/>
      <name val="Calibri"/>
    </font>
    <font>
      <sz val="11.0"/>
      <color rgb="FF212121"/>
      <name val="Calibri"/>
    </font>
    <font>
      <b/>
      <sz val="28.0"/>
      <color rgb="FF3D4654"/>
      <name val="Calibri"/>
    </font>
    <font>
      <sz val="13.0"/>
      <color theme="1"/>
      <name val="Calibri"/>
    </font>
    <font>
      <i/>
      <sz val="11.0"/>
      <color rgb="FF757575"/>
      <name val="Calibri"/>
    </font>
    <font>
      <b/>
      <sz val="28.0"/>
      <color rgb="FF6A4C93"/>
      <name val="Calibri"/>
    </font>
    <font>
      <i/>
      <sz val="11.0"/>
      <color rgb="FF3D4654"/>
      <name val="Calibri"/>
    </font>
    <font>
      <b/>
      <sz val="28.0"/>
      <color rgb="FFC0392B"/>
      <name val="Calibri"/>
    </font>
    <font>
      <b/>
      <sz val="28.0"/>
      <color rgb="FFFFFFFF"/>
      <name val="Calibri"/>
    </font>
    <font>
      <b/>
      <sz val="26.0"/>
      <color rgb="FF0E7C7B"/>
      <name val="Calibri"/>
    </font>
    <font>
      <b/>
      <sz val="26.0"/>
      <color rgb="FF1B3A6B"/>
      <name val="Calibri"/>
    </font>
    <font>
      <b/>
      <sz val="26.0"/>
      <color rgb="FF1E7E34"/>
      <name val="Calibri"/>
    </font>
    <font>
      <b/>
      <sz val="24.0"/>
      <color rgb="FFF39C12"/>
      <name val="Calibri"/>
    </font>
    <font>
      <b/>
      <sz val="24.0"/>
      <color rgb="FF0E7C7B"/>
      <name val="Calibri"/>
    </font>
    <font>
      <b/>
      <sz val="24.0"/>
      <color rgb="FF1E7E34"/>
      <name val="Calibri"/>
    </font>
    <font>
      <b/>
      <sz val="24.0"/>
      <color rgb="FF1B3A6B"/>
      <name val="Calibri"/>
    </font>
    <font>
      <sz val="12.0"/>
      <color theme="1"/>
      <name val="Calibri"/>
    </font>
    <font>
      <i/>
      <sz val="16.0"/>
      <color rgb="FFD6DCE4"/>
      <name val="Calibri"/>
    </font>
    <font>
      <b/>
      <u/>
      <sz val="14.0"/>
      <color rgb="FFFFFFFF"/>
      <name val="Calibri"/>
    </font>
    <font>
      <b/>
      <sz val="12.0"/>
      <color rgb="FFFFFFFF"/>
      <name val="Calibri"/>
    </font>
    <font>
      <b/>
      <sz val="13.0"/>
      <color rgb="FF000000"/>
      <name val="Calibri"/>
    </font>
    <font>
      <sz val="13.0"/>
      <color rgb="FF0000FF"/>
      <name val="Calibri"/>
    </font>
    <font>
      <sz val="12.0"/>
      <color rgb="FFF39C12"/>
      <name val="Calibri"/>
    </font>
    <font>
      <b/>
      <sz val="13.0"/>
      <color rgb="FF0000FF"/>
      <name val="Calibri"/>
    </font>
    <font>
      <b/>
      <sz val="13.0"/>
      <color rgb="FFC0392B"/>
      <name val="Calibri"/>
    </font>
    <font>
      <i/>
      <sz val="11.0"/>
      <color rgb="FF7F8C9A"/>
      <name val="Calibri"/>
    </font>
    <font>
      <color rgb="FFFFFFFF"/>
      <name val="Calibri"/>
      <scheme val="minor"/>
    </font>
    <font>
      <b/>
      <sz val="11.0"/>
      <color theme="1"/>
      <name val="Calibri"/>
    </font>
    <font>
      <b/>
      <sz val="13.0"/>
      <color rgb="FF4E342E"/>
      <name val="Calibri"/>
    </font>
    <font>
      <b/>
      <sz val="12.0"/>
      <color rgb="FF4E342E"/>
      <name val="Calibri"/>
    </font>
    <font>
      <sz val="13.0"/>
      <color rgb="FF4E342E"/>
      <name val="Calibri"/>
    </font>
    <font>
      <i/>
      <sz val="15.0"/>
      <color rgb="FFD6DCE4"/>
      <name val="Calibri"/>
    </font>
    <font>
      <i/>
      <sz val="15.0"/>
      <color rgb="FF3D4654"/>
      <name val="Calibri"/>
    </font>
    <font>
      <sz val="15.0"/>
      <color rgb="FF0000FF"/>
      <name val="Calibri"/>
    </font>
    <font>
      <sz val="13.0"/>
      <color rgb="FF1B5E20"/>
      <name val="Calibri"/>
    </font>
    <font>
      <u/>
      <sz val="15.0"/>
      <color rgb="FF0000FF"/>
      <name val="Calibri"/>
    </font>
    <font>
      <b/>
      <sz val="15.0"/>
      <color rgb="FF0000FF"/>
      <name val="Calibri"/>
    </font>
    <font>
      <sz val="15.0"/>
      <color theme="1"/>
      <name val="Calibri"/>
    </font>
    <font>
      <sz val="15.0"/>
      <color rgb="FFFFFFFF"/>
      <name val="Calibri"/>
    </font>
    <font>
      <sz val="16.0"/>
      <color rgb="FFFFFFFF"/>
      <name val="Calibri"/>
      <scheme val="minor"/>
    </font>
    <font>
      <i/>
      <sz val="16.0"/>
      <color rgb="FFE8F5E9"/>
      <name val="Calibri"/>
    </font>
    <font>
      <i/>
      <sz val="13.0"/>
      <color rgb="FF757575"/>
      <name val="Calibri"/>
    </font>
    <font>
      <i/>
      <sz val="12.0"/>
      <color rgb="FF757575"/>
      <name val="Calibri"/>
    </font>
    <font>
      <b/>
      <sz val="15.0"/>
      <color theme="1"/>
      <name val="Calibri"/>
    </font>
    <font>
      <sz val="15.0"/>
      <color theme="1"/>
      <name val="Calibri"/>
      <scheme val="minor"/>
    </font>
    <font>
      <b/>
      <sz val="12.0"/>
      <color theme="1"/>
      <name val="Calibri"/>
    </font>
    <font>
      <b/>
      <sz val="11.0"/>
      <color rgb="FF4E342E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1B5E20"/>
        <bgColor rgb="FF1B5E20"/>
      </patternFill>
    </fill>
    <fill>
      <patternFill patternType="solid">
        <fgColor rgb="FF3D4654"/>
        <bgColor rgb="FF3D4654"/>
      </patternFill>
    </fill>
    <fill>
      <patternFill patternType="solid">
        <fgColor rgb="FF2563A8"/>
        <bgColor rgb="FF2563A8"/>
      </patternFill>
    </fill>
    <fill>
      <patternFill patternType="solid">
        <fgColor rgb="FF1E7E34"/>
        <bgColor rgb="FF1E7E34"/>
      </patternFill>
    </fill>
    <fill>
      <patternFill patternType="solid">
        <fgColor rgb="FFFFF9C4"/>
        <bgColor rgb="FFFFF9C4"/>
      </patternFill>
    </fill>
    <fill>
      <patternFill patternType="solid">
        <fgColor rgb="FFFFF59D"/>
        <bgColor rgb="FFFFF59D"/>
      </patternFill>
    </fill>
    <fill>
      <patternFill patternType="solid">
        <fgColor rgb="FFC8E6C9"/>
        <bgColor rgb="FFC8E6C9"/>
      </patternFill>
    </fill>
    <fill>
      <patternFill patternType="solid">
        <fgColor rgb="FFFFFFFF"/>
        <bgColor rgb="FFFFFFFF"/>
      </patternFill>
    </fill>
    <fill>
      <patternFill patternType="solid">
        <fgColor rgb="FFF39C12"/>
        <bgColor rgb="FFF39C12"/>
      </patternFill>
    </fill>
    <fill>
      <patternFill patternType="solid">
        <fgColor rgb="FFD6DCE4"/>
        <bgColor rgb="FFD6DCE4"/>
      </patternFill>
    </fill>
    <fill>
      <patternFill patternType="solid">
        <fgColor rgb="FF4A90D9"/>
        <bgColor rgb="FF4A90D9"/>
      </patternFill>
    </fill>
    <fill>
      <patternFill patternType="solid">
        <fgColor rgb="FFC0392B"/>
        <bgColor rgb="FFC0392B"/>
      </patternFill>
    </fill>
    <fill>
      <patternFill patternType="solid">
        <fgColor rgb="FF2E7D32"/>
        <bgColor rgb="FF2E7D32"/>
      </patternFill>
    </fill>
    <fill>
      <patternFill patternType="solid">
        <fgColor rgb="FF6D4C41"/>
        <bgColor rgb="FF6D4C41"/>
      </patternFill>
    </fill>
    <fill>
      <patternFill patternType="solid">
        <fgColor rgb="FF0E7C7B"/>
        <bgColor rgb="FF0E7C7B"/>
      </patternFill>
    </fill>
    <fill>
      <patternFill patternType="solid">
        <fgColor rgb="FFFFCDD2"/>
        <bgColor rgb="FFFFCDD2"/>
      </patternFill>
    </fill>
    <fill>
      <patternFill patternType="solid">
        <fgColor rgb="FFBCD3E4"/>
        <bgColor rgb="FFBCD3E4"/>
      </patternFill>
    </fill>
    <fill>
      <patternFill patternType="solid">
        <fgColor rgb="FF6A4C93"/>
        <bgColor rgb="FF6A4C93"/>
      </patternFill>
    </fill>
    <fill>
      <patternFill patternType="solid">
        <fgColor rgb="FFF5F5F5"/>
        <bgColor rgb="FFF5F5F5"/>
      </patternFill>
    </fill>
    <fill>
      <patternFill patternType="solid">
        <fgColor rgb="FF6AA84F"/>
        <bgColor rgb="FF6AA84F"/>
      </patternFill>
    </fill>
    <fill>
      <patternFill patternType="solid">
        <fgColor rgb="FFF1F8E9"/>
        <bgColor rgb="FFF1F8E9"/>
      </patternFill>
    </fill>
    <fill>
      <patternFill patternType="solid">
        <fgColor rgb="FFD7CCC8"/>
        <bgColor rgb="FFD7CCC8"/>
      </patternFill>
    </fill>
    <fill>
      <patternFill patternType="solid">
        <fgColor rgb="FFAAC7E5"/>
        <bgColor rgb="FFAAC7E5"/>
      </patternFill>
    </fill>
    <fill>
      <patternFill patternType="solid">
        <fgColor rgb="FF1155CC"/>
        <bgColor rgb="FF1155CC"/>
      </patternFill>
    </fill>
    <fill>
      <patternFill patternType="solid">
        <fgColor rgb="FFA5D6A7"/>
        <bgColor rgb="FFA5D6A7"/>
      </patternFill>
    </fill>
    <fill>
      <patternFill patternType="solid">
        <fgColor rgb="FFBCAAA4"/>
        <bgColor rgb="FFBCAAA4"/>
      </patternFill>
    </fill>
    <fill>
      <patternFill patternType="solid">
        <fgColor rgb="FFE4DAD5"/>
        <bgColor rgb="FFE4DAD5"/>
      </patternFill>
    </fill>
  </fills>
  <borders count="6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7F8C9A"/>
      </left>
      <right style="thin">
        <color rgb="FF7F8C9A"/>
      </right>
      <top style="thin">
        <color rgb="FF7F8C9A"/>
      </top>
      <bottom style="medium">
        <color rgb="FF2563A8"/>
      </bottom>
    </border>
    <border>
      <left style="thin">
        <color rgb="FF7F8C9A"/>
      </left>
      <right style="thin">
        <color rgb="FF7F8C9A"/>
      </right>
      <top style="thin">
        <color rgb="FF7F8C9A"/>
      </top>
      <bottom style="thin">
        <color rgb="FF7F8C9A"/>
      </bottom>
    </border>
    <border>
      <left style="thin">
        <color rgb="FF7F8C9A"/>
      </left>
      <top style="thin">
        <color rgb="FF7F8C9A"/>
      </top>
      <bottom style="thin">
        <color rgb="FF7F8C9A"/>
      </bottom>
    </border>
    <border>
      <top style="thin">
        <color rgb="FF7F8C9A"/>
      </top>
      <bottom style="thin">
        <color rgb="FF7F8C9A"/>
      </bottom>
    </border>
    <border>
      <right style="thin">
        <color rgb="FF7F8C9A"/>
      </right>
      <top style="thin">
        <color rgb="FF7F8C9A"/>
      </top>
      <bottom style="thin">
        <color rgb="FF7F8C9A"/>
      </bottom>
    </border>
    <border>
      <right/>
      <top style="thin">
        <color rgb="FF7F8C9A"/>
      </top>
      <bottom style="thin">
        <color rgb="FF7F8C9A"/>
      </bottom>
    </border>
    <border>
      <left style="thin">
        <color rgb="FF9E9E9E"/>
      </left>
      <top style="thin">
        <color rgb="FF9E9E9E"/>
      </top>
      <bottom style="thin">
        <color rgb="FF9E9E9E"/>
      </bottom>
    </border>
    <border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7F8C9A"/>
      </left>
      <bottom style="thin">
        <color rgb="FF7F8C9A"/>
      </bottom>
    </border>
    <border>
      <bottom style="thin">
        <color rgb="FF7F8C9A"/>
      </bottom>
    </border>
    <border>
      <right/>
      <bottom style="thin">
        <color rgb="FF7F8C9A"/>
      </bottom>
    </border>
    <border>
      <left style="thin">
        <color rgb="FF7F8C9A"/>
      </left>
      <right style="thin">
        <color rgb="FF7F8C9A"/>
      </right>
      <bottom style="thin">
        <color rgb="FF7F8C9A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/>
      <top style="thin">
        <color rgb="FFFFFFFF"/>
      </top>
      <bottom style="thin">
        <color rgb="FFFFFFFF"/>
      </bottom>
    </border>
    <border>
      <left style="medium">
        <color rgb="FF1B3A6B"/>
      </left>
      <top style="medium">
        <color rgb="FF1B3A6B"/>
      </top>
      <bottom style="medium">
        <color rgb="FF1B3A6B"/>
      </bottom>
    </border>
    <border>
      <top style="medium">
        <color rgb="FF1B3A6B"/>
      </top>
      <bottom style="medium">
        <color rgb="FF1B3A6B"/>
      </bottom>
    </border>
    <border>
      <right/>
      <top style="medium">
        <color rgb="FF1B3A6B"/>
      </top>
      <bottom style="medium">
        <color rgb="FF1B3A6B"/>
      </bottom>
    </border>
    <border>
      <left style="medium">
        <color rgb="FF2563A8"/>
      </left>
      <top style="medium">
        <color rgb="FF2563A8"/>
      </top>
      <bottom style="medium">
        <color rgb="FF2563A8"/>
      </bottom>
    </border>
    <border>
      <top style="medium">
        <color rgb="FF2563A8"/>
      </top>
      <bottom style="medium">
        <color rgb="FF2563A8"/>
      </bottom>
    </border>
    <border>
      <right/>
      <top style="medium">
        <color rgb="FF2563A8"/>
      </top>
      <bottom style="medium">
        <color rgb="FF2563A8"/>
      </bottom>
    </border>
    <border>
      <left style="medium">
        <color rgb="FF0E7C7B"/>
      </left>
      <top style="medium">
        <color rgb="FF0E7C7B"/>
      </top>
      <bottom style="medium">
        <color rgb="FF0E7C7B"/>
      </bottom>
    </border>
    <border>
      <top style="medium">
        <color rgb="FF0E7C7B"/>
      </top>
      <bottom style="medium">
        <color rgb="FF0E7C7B"/>
      </bottom>
    </border>
    <border>
      <right/>
      <top style="medium">
        <color rgb="FF0E7C7B"/>
      </top>
      <bottom style="medium">
        <color rgb="FF0E7C7B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/>
      <top style="thin">
        <color rgb="FFFFFFFF"/>
      </top>
    </border>
    <border>
      <left style="medium">
        <color rgb="FFF39C12"/>
      </left>
      <top style="medium">
        <color rgb="FFF39C12"/>
      </top>
      <bottom style="medium">
        <color rgb="FFF39C12"/>
      </bottom>
    </border>
    <border>
      <top style="medium">
        <color rgb="FFF39C12"/>
      </top>
      <bottom style="medium">
        <color rgb="FFF39C12"/>
      </bottom>
    </border>
    <border>
      <right/>
      <top style="medium">
        <color rgb="FFF39C12"/>
      </top>
      <bottom style="medium">
        <color rgb="FFF39C12"/>
      </bottom>
    </border>
    <border>
      <left style="medium">
        <color rgb="FF1E7E34"/>
      </left>
      <top style="medium">
        <color rgb="FF1E7E34"/>
      </top>
      <bottom style="medium">
        <color rgb="FF1E7E34"/>
      </bottom>
    </border>
    <border>
      <top style="medium">
        <color rgb="FF1E7E34"/>
      </top>
      <bottom style="medium">
        <color rgb="FF1E7E34"/>
      </bottom>
    </border>
    <border>
      <right/>
      <top style="medium">
        <color rgb="FF1E7E34"/>
      </top>
      <bottom style="medium">
        <color rgb="FF1E7E3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E9E9E"/>
      </left>
      <right/>
      <top style="thin">
        <color rgb="FF9E9E9E"/>
      </top>
      <bottom/>
    </border>
    <border>
      <left style="medium">
        <color rgb="FF6A4C93"/>
      </left>
      <top style="medium">
        <color rgb="FF6A4C93"/>
      </top>
      <bottom style="medium">
        <color rgb="FF6A4C93"/>
      </bottom>
    </border>
    <border>
      <top style="medium">
        <color rgb="FF6A4C93"/>
      </top>
      <bottom style="medium">
        <color rgb="FF6A4C93"/>
      </bottom>
    </border>
    <border>
      <right/>
      <top style="medium">
        <color rgb="FF6A4C93"/>
      </top>
      <bottom style="medium">
        <color rgb="FF6A4C93"/>
      </bottom>
    </border>
    <border>
      <left style="medium">
        <color rgb="FFC0392B"/>
      </left>
      <top style="medium">
        <color rgb="FFC0392B"/>
      </top>
      <bottom style="medium">
        <color rgb="FFC0392B"/>
      </bottom>
    </border>
    <border>
      <top style="medium">
        <color rgb="FFC0392B"/>
      </top>
      <bottom style="medium">
        <color rgb="FFC0392B"/>
      </bottom>
    </border>
    <border>
      <right/>
      <top style="medium">
        <color rgb="FFC0392B"/>
      </top>
      <bottom style="medium">
        <color rgb="FFC0392B"/>
      </bottom>
    </border>
    <border>
      <left style="thin">
        <color rgb="FF9E9E9E"/>
      </left>
      <top style="thin">
        <color rgb="FF9E9E9E"/>
      </top>
    </border>
    <border>
      <right/>
      <top style="thin">
        <color rgb="FF9E9E9E"/>
      </top>
    </border>
    <border>
      <left style="thin">
        <color rgb="FF9E9E9E"/>
      </left>
    </border>
    <border>
      <right/>
    </border>
    <border>
      <left style="thin">
        <color rgb="FF9E9E9E"/>
      </left>
      <bottom/>
    </border>
    <border>
      <right/>
      <bottom/>
    </border>
    <border>
      <left style="medium">
        <color rgb="FF1B3A6B"/>
      </left>
      <right/>
      <top style="medium">
        <color rgb="FF1B3A6B"/>
      </top>
      <bottom style="medium">
        <color rgb="FF1B3A6B"/>
      </bottom>
    </border>
    <border>
      <left style="medium">
        <color rgb="FF1E7E34"/>
      </left>
      <right/>
      <top style="medium">
        <color rgb="FF1E7E34"/>
      </top>
      <bottom style="medium">
        <color rgb="FF1E7E34"/>
      </bottom>
    </border>
    <border>
      <left style="medium">
        <color rgb="FF0E7C7B"/>
      </left>
      <right/>
      <top style="medium">
        <color rgb="FF0E7C7B"/>
      </top>
      <bottom style="medium">
        <color rgb="FF0E7C7B"/>
      </bottom>
    </border>
    <border>
      <left style="thin">
        <color rgb="FF7F8C9A"/>
      </left>
      <right style="thin">
        <color rgb="FF7F8C9A"/>
      </right>
      <top style="thin">
        <color rgb="FF7F8C9A"/>
      </top>
    </border>
    <border>
      <left style="thin">
        <color rgb="FF9E9E9E"/>
      </left>
      <right/>
      <top style="thin">
        <color rgb="FF9E9E9E"/>
      </top>
    </border>
    <border>
      <right style="thin">
        <color rgb="FF7F8C9A"/>
      </right>
      <top/>
      <bottom/>
    </border>
    <border>
      <left style="thin">
        <color rgb="FF7F8C9A"/>
      </left>
      <top style="thin">
        <color rgb="FF7F8C9A"/>
      </top>
      <bottom style="medium">
        <color rgb="FF2563A8"/>
      </bottom>
    </border>
    <border>
      <top style="thin">
        <color rgb="FF7F8C9A"/>
      </top>
      <bottom style="medium">
        <color rgb="FF2563A8"/>
      </bottom>
    </border>
    <border>
      <right style="thin">
        <color rgb="FF7F8C9A"/>
      </right>
      <top style="thin">
        <color rgb="FF7F8C9A"/>
      </top>
      <bottom style="medium">
        <color rgb="FF2563A8"/>
      </bottom>
    </border>
  </borders>
  <cellStyleXfs count="1">
    <xf borderId="0" fillId="0" fontId="0" numFmtId="0" applyAlignment="1" applyFont="1"/>
  </cellStyleXfs>
  <cellXfs count="5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1" fillId="2" fontId="4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1" fillId="3" fontId="5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1" fillId="4" fontId="8" numFmtId="0" xfId="0" applyAlignment="1" applyBorder="1" applyFont="1">
      <alignment horizontal="center" shrinkToFit="0" vertical="center" wrapText="0"/>
    </xf>
    <xf borderId="4" fillId="3" fontId="9" numFmtId="0" xfId="0" applyAlignment="1" applyBorder="1" applyFont="1">
      <alignment vertical="bottom"/>
    </xf>
    <xf borderId="1" fillId="5" fontId="10" numFmtId="0" xfId="0" applyAlignment="1" applyBorder="1" applyFill="1" applyFont="1">
      <alignment horizontal="left" shrinkToFit="0" vertical="center" wrapText="0"/>
    </xf>
    <xf borderId="0" fillId="0" fontId="9" numFmtId="0" xfId="0" applyAlignment="1" applyFont="1">
      <alignment vertical="bottom"/>
    </xf>
    <xf borderId="0" fillId="0" fontId="11" numFmtId="0" xfId="0" applyAlignment="1" applyFont="1">
      <alignment horizontal="left" shrinkToFit="0" vertical="center" wrapText="1"/>
    </xf>
    <xf borderId="1" fillId="5" fontId="12" numFmtId="0" xfId="0" applyAlignment="1" applyBorder="1" applyFont="1">
      <alignment horizontal="center" shrinkToFit="0" vertical="center" wrapText="0"/>
    </xf>
    <xf borderId="1" fillId="3" fontId="13" numFmtId="0" xfId="0" applyAlignment="1" applyBorder="1" applyFont="1">
      <alignment horizontal="center"/>
    </xf>
    <xf borderId="0" fillId="0" fontId="14" numFmtId="0" xfId="0" applyAlignment="1" applyFont="1">
      <alignment horizontal="right" shrinkToFit="0" vertical="bottom" wrapText="0"/>
    </xf>
    <xf borderId="1" fillId="6" fontId="10" numFmtId="0" xfId="0" applyAlignment="1" applyBorder="1" applyFill="1" applyFont="1">
      <alignment horizontal="left" shrinkToFit="0" vertical="center" wrapText="0"/>
    </xf>
    <xf borderId="5" fillId="7" fontId="15" numFmtId="9" xfId="0" applyAlignment="1" applyBorder="1" applyFill="1" applyFont="1" applyNumberFormat="1">
      <alignment horizontal="center" shrinkToFit="0" vertical="bottom" wrapText="0"/>
    </xf>
    <xf borderId="0" fillId="0" fontId="16" numFmtId="0" xfId="0" applyAlignment="1" applyFont="1">
      <alignment horizontal="left" shrinkToFit="0" vertical="center" wrapText="1"/>
    </xf>
    <xf borderId="6" fillId="5" fontId="17" numFmtId="0" xfId="0" applyAlignment="1" applyBorder="1" applyFont="1">
      <alignment horizontal="center" shrinkToFit="0" vertical="center" wrapText="1"/>
    </xf>
    <xf borderId="1" fillId="8" fontId="18" numFmtId="0" xfId="0" applyAlignment="1" applyBorder="1" applyFill="1" applyFont="1">
      <alignment horizontal="left" shrinkToFit="0" vertical="center" wrapText="1"/>
    </xf>
    <xf borderId="0" fillId="0" fontId="19" numFmtId="0" xfId="0" applyAlignment="1" applyFont="1">
      <alignment horizontal="center" shrinkToFit="0" vertical="center" wrapText="0"/>
    </xf>
    <xf borderId="6" fillId="6" fontId="17" numFmtId="0" xfId="0" applyAlignment="1" applyBorder="1" applyFont="1">
      <alignment horizontal="center" shrinkToFit="0" vertical="center" wrapText="1"/>
    </xf>
    <xf borderId="1" fillId="9" fontId="20" numFmtId="0" xfId="0" applyAlignment="1" applyBorder="1" applyFill="1" applyFont="1">
      <alignment horizontal="center"/>
    </xf>
    <xf borderId="0" fillId="0" fontId="5" numFmtId="0" xfId="0" applyAlignment="1" applyFont="1">
      <alignment horizontal="center" shrinkToFit="0" vertical="center" wrapText="0"/>
    </xf>
    <xf borderId="0" fillId="10" fontId="21" numFmtId="0" xfId="0" applyAlignment="1" applyFill="1" applyFont="1">
      <alignment horizontal="left" shrinkToFit="0" vertical="center" wrapText="0"/>
    </xf>
    <xf borderId="6" fillId="4" fontId="17" numFmtId="0" xfId="0" applyAlignment="1" applyBorder="1" applyFont="1">
      <alignment horizontal="center" shrinkToFit="0" vertical="center" wrapText="1"/>
    </xf>
    <xf borderId="0" fillId="10" fontId="7" numFmtId="0" xfId="0" applyAlignment="1" applyFont="1">
      <alignment shrinkToFit="0" vertical="bottom" wrapText="0"/>
    </xf>
    <xf borderId="0" fillId="10" fontId="22" numFmtId="0" xfId="0" applyFont="1"/>
    <xf borderId="1" fillId="11" fontId="10" numFmtId="0" xfId="0" applyAlignment="1" applyBorder="1" applyFill="1" applyFont="1">
      <alignment horizontal="left" shrinkToFit="0" vertical="center" wrapText="0"/>
    </xf>
    <xf borderId="7" fillId="12" fontId="23" numFmtId="0" xfId="0" applyAlignment="1" applyBorder="1" applyFill="1" applyFont="1">
      <alignment horizontal="center" shrinkToFit="0" vertical="center" wrapText="0"/>
    </xf>
    <xf borderId="7" fillId="12" fontId="24" numFmtId="0" xfId="0" applyAlignment="1" applyBorder="1" applyFont="1">
      <alignment horizontal="left" shrinkToFit="0" vertical="center" wrapText="0"/>
    </xf>
    <xf borderId="7" fillId="12" fontId="24" numFmtId="0" xfId="0" applyAlignment="1" applyBorder="1" applyFont="1">
      <alignment horizontal="center" shrinkToFit="0" vertical="center" wrapText="0"/>
    </xf>
    <xf borderId="1" fillId="13" fontId="10" numFmtId="0" xfId="0" applyAlignment="1" applyBorder="1" applyFill="1" applyFont="1">
      <alignment horizontal="left" shrinkToFit="0" vertical="center" wrapText="0"/>
    </xf>
    <xf borderId="1" fillId="9" fontId="25" numFmtId="0" xfId="0" applyAlignment="1" applyBorder="1" applyFont="1">
      <alignment horizontal="center"/>
    </xf>
    <xf borderId="1" fillId="4" fontId="10" numFmtId="0" xfId="0" applyAlignment="1" applyBorder="1" applyFont="1">
      <alignment horizontal="left" shrinkToFit="0" vertical="center" wrapText="0"/>
    </xf>
    <xf borderId="1" fillId="6" fontId="19" numFmtId="0" xfId="0" applyAlignment="1" applyBorder="1" applyFont="1">
      <alignment horizontal="center" shrinkToFit="0" vertical="center" wrapText="0"/>
    </xf>
    <xf borderId="7" fillId="4" fontId="19" numFmtId="0" xfId="0" applyAlignment="1" applyBorder="1" applyFont="1">
      <alignment horizontal="right" shrinkToFit="0" vertical="center" wrapText="0"/>
    </xf>
    <xf borderId="4" fillId="9" fontId="9" numFmtId="0" xfId="0" applyAlignment="1" applyBorder="1" applyFont="1">
      <alignment vertical="bottom"/>
    </xf>
    <xf borderId="8" fillId="8" fontId="26" numFmtId="0" xfId="0" applyAlignment="1" applyBorder="1" applyFont="1">
      <alignment shrinkToFit="0" vertical="bottom" wrapText="0"/>
    </xf>
    <xf borderId="9" fillId="0" fontId="3" numFmtId="0" xfId="0" applyBorder="1" applyFont="1"/>
    <xf borderId="10" fillId="0" fontId="3" numFmtId="0" xfId="0" applyBorder="1" applyFont="1"/>
    <xf borderId="8" fillId="8" fontId="26" numFmtId="164" xfId="0" applyAlignment="1" applyBorder="1" applyFont="1" applyNumberFormat="1">
      <alignment shrinkToFit="0" vertical="bottom" wrapText="0"/>
    </xf>
    <xf borderId="7" fillId="12" fontId="23" numFmtId="3" xfId="0" applyAlignment="1" applyBorder="1" applyFont="1" applyNumberFormat="1">
      <alignment horizontal="right" shrinkToFit="0" vertical="center" wrapText="0"/>
    </xf>
    <xf borderId="8" fillId="10" fontId="27" numFmtId="0" xfId="0" applyAlignment="1" applyBorder="1" applyFont="1">
      <alignment horizontal="left" shrinkToFit="0" vertical="center" wrapText="0"/>
    </xf>
    <xf borderId="11" fillId="0" fontId="3" numFmtId="0" xfId="0" applyBorder="1" applyFont="1"/>
    <xf borderId="1" fillId="14" fontId="10" numFmtId="0" xfId="0" applyAlignment="1" applyBorder="1" applyFill="1" applyFont="1">
      <alignment horizontal="left" shrinkToFit="0" vertical="center" wrapText="0"/>
    </xf>
    <xf borderId="7" fillId="12" fontId="24" numFmtId="164" xfId="0" applyAlignment="1" applyBorder="1" applyFont="1" applyNumberFormat="1">
      <alignment horizontal="right" shrinkToFit="0" vertical="center" wrapText="0"/>
    </xf>
    <xf borderId="6" fillId="15" fontId="5" numFmtId="0" xfId="0" applyAlignment="1" applyBorder="1" applyFill="1" applyFont="1">
      <alignment horizontal="center" shrinkToFit="0" wrapText="1"/>
    </xf>
    <xf borderId="8" fillId="8" fontId="28" numFmtId="0" xfId="0" applyAlignment="1" applyBorder="1" applyFont="1">
      <alignment shrinkToFit="0" vertical="bottom" wrapText="0"/>
    </xf>
    <xf borderId="7" fillId="12" fontId="23" numFmtId="164" xfId="0" applyAlignment="1" applyBorder="1" applyFont="1" applyNumberFormat="1">
      <alignment horizontal="right" shrinkToFit="0" vertical="center" wrapText="0"/>
    </xf>
    <xf borderId="6" fillId="15" fontId="5" numFmtId="3" xfId="0" applyAlignment="1" applyBorder="1" applyFont="1" applyNumberFormat="1">
      <alignment horizontal="center" shrinkToFit="0" wrapText="1"/>
    </xf>
    <xf borderId="8" fillId="8" fontId="29" numFmtId="0" xfId="0" applyAlignment="1" applyBorder="1" applyFont="1">
      <alignment horizontal="left" shrinkToFit="0" vertical="center" wrapText="0"/>
    </xf>
    <xf borderId="6" fillId="15" fontId="30" numFmtId="0" xfId="0" applyAlignment="1" applyBorder="1" applyFont="1">
      <alignment horizontal="center" shrinkToFit="0" wrapText="1"/>
    </xf>
    <xf borderId="8" fillId="8" fontId="31" numFmtId="0" xfId="0" applyAlignment="1" applyBorder="1" applyFont="1">
      <alignment horizontal="center" shrinkToFit="0" vertical="bottom" wrapText="0"/>
    </xf>
    <xf borderId="6" fillId="15" fontId="5" numFmtId="0" xfId="0" applyAlignment="1" applyBorder="1" applyFont="1">
      <alignment horizontal="center"/>
    </xf>
    <xf borderId="7" fillId="12" fontId="32" numFmtId="164" xfId="0" applyAlignment="1" applyBorder="1" applyFont="1" applyNumberFormat="1">
      <alignment horizontal="right" shrinkToFit="0" vertical="center" wrapText="0"/>
    </xf>
    <xf borderId="8" fillId="8" fontId="26" numFmtId="0" xfId="0" applyAlignment="1" applyBorder="1" applyFont="1">
      <alignment horizontal="center" shrinkToFit="0" vertical="bottom" wrapText="0"/>
    </xf>
    <xf borderId="4" fillId="15" fontId="33" numFmtId="0" xfId="0" applyAlignment="1" applyBorder="1" applyFont="1">
      <alignment horizontal="center" vertical="bottom"/>
    </xf>
    <xf borderId="7" fillId="12" fontId="24" numFmtId="0" xfId="0" applyAlignment="1" applyBorder="1" applyFont="1">
      <alignment horizontal="center" readingOrder="0" shrinkToFit="0" vertical="center" wrapText="0"/>
    </xf>
    <xf borderId="12" fillId="15" fontId="33" numFmtId="0" xfId="0" applyAlignment="1" applyBorder="1" applyFont="1">
      <alignment horizontal="center"/>
    </xf>
    <xf borderId="0" fillId="0" fontId="7" numFmtId="9" xfId="0" applyAlignment="1" applyFont="1" applyNumberFormat="1">
      <alignment shrinkToFit="0" vertical="bottom" wrapText="0"/>
    </xf>
    <xf borderId="13" fillId="0" fontId="3" numFmtId="0" xfId="0" applyBorder="1" applyFont="1"/>
    <xf borderId="7" fillId="10" fontId="23" numFmtId="0" xfId="0" applyAlignment="1" applyBorder="1" applyFont="1">
      <alignment horizontal="center" shrinkToFit="0" vertical="center" wrapText="0"/>
    </xf>
    <xf borderId="7" fillId="10" fontId="24" numFmtId="0" xfId="0" applyAlignment="1" applyBorder="1" applyFont="1">
      <alignment horizontal="left" shrinkToFit="0" vertical="center" wrapText="0"/>
    </xf>
    <xf borderId="4" fillId="16" fontId="5" numFmtId="0" xfId="0" applyAlignment="1" applyBorder="1" applyFill="1" applyFont="1">
      <alignment horizontal="center" readingOrder="0" vertical="bottom"/>
    </xf>
    <xf borderId="7" fillId="10" fontId="24" numFmtId="0" xfId="0" applyAlignment="1" applyBorder="1" applyFont="1">
      <alignment horizontal="center" shrinkToFit="0" vertical="center" wrapText="0"/>
    </xf>
    <xf borderId="4" fillId="16" fontId="7" numFmtId="0" xfId="0" applyAlignment="1" applyBorder="1" applyFont="1">
      <alignment vertical="bottom"/>
    </xf>
    <xf borderId="1" fillId="2" fontId="10" numFmtId="0" xfId="0" applyAlignment="1" applyBorder="1" applyFont="1">
      <alignment horizontal="left" shrinkToFit="0" vertical="center" wrapText="0"/>
    </xf>
    <xf borderId="4" fillId="16" fontId="7" numFmtId="0" xfId="0" applyAlignment="1" applyBorder="1" applyFont="1">
      <alignment vertical="bottom"/>
    </xf>
    <xf borderId="4" fillId="16" fontId="7" numFmtId="4" xfId="0" applyAlignment="1" applyBorder="1" applyFont="1" applyNumberFormat="1">
      <alignment vertical="bottom"/>
    </xf>
    <xf borderId="14" fillId="12" fontId="34" numFmtId="0" xfId="0" applyAlignment="1" applyBorder="1" applyFont="1">
      <alignment horizontal="left" shrinkToFit="0" vertical="center" wrapText="0"/>
    </xf>
    <xf borderId="4" fillId="16" fontId="7" numFmtId="3" xfId="0" applyAlignment="1" applyBorder="1" applyFont="1" applyNumberFormat="1">
      <alignment vertical="bottom"/>
    </xf>
    <xf borderId="15" fillId="0" fontId="3" numFmtId="0" xfId="0" applyBorder="1" applyFont="1"/>
    <xf borderId="16" fillId="0" fontId="3" numFmtId="0" xfId="0" applyBorder="1" applyFont="1"/>
    <xf borderId="4" fillId="16" fontId="7" numFmtId="164" xfId="0" applyAlignment="1" applyBorder="1" applyFont="1" applyNumberFormat="1">
      <alignment vertical="bottom"/>
    </xf>
    <xf borderId="17" fillId="8" fontId="35" numFmtId="9" xfId="0" applyAlignment="1" applyBorder="1" applyFont="1" applyNumberFormat="1">
      <alignment horizontal="center" shrinkToFit="0" vertical="center" wrapText="0"/>
    </xf>
    <xf borderId="1" fillId="2" fontId="36" numFmtId="0" xfId="0" applyAlignment="1" applyBorder="1" applyFont="1">
      <alignment horizontal="left" shrinkToFit="0" vertical="center" wrapText="0"/>
    </xf>
    <xf borderId="7" fillId="10" fontId="23" numFmtId="3" xfId="0" applyAlignment="1" applyBorder="1" applyFont="1" applyNumberFormat="1">
      <alignment horizontal="right" shrinkToFit="0" vertical="center" wrapText="0"/>
    </xf>
    <xf borderId="8" fillId="12" fontId="34" numFmtId="0" xfId="0" applyAlignment="1" applyBorder="1" applyFont="1">
      <alignment horizontal="left" shrinkToFit="0" vertical="center" wrapText="0"/>
    </xf>
    <xf borderId="7" fillId="8" fontId="35" numFmtId="0" xfId="0" applyAlignment="1" applyBorder="1" applyFont="1">
      <alignment horizontal="center" shrinkToFit="0" vertical="center" wrapText="0"/>
    </xf>
    <xf borderId="7" fillId="10" fontId="24" numFmtId="164" xfId="0" applyAlignment="1" applyBorder="1" applyFont="1" applyNumberFormat="1">
      <alignment horizontal="right" shrinkToFit="0" vertical="center" wrapText="0"/>
    </xf>
    <xf borderId="18" fillId="2" fontId="5" numFmtId="1" xfId="0" applyAlignment="1" applyBorder="1" applyFont="1" applyNumberFormat="1">
      <alignment horizontal="center" readingOrder="0" shrinkToFit="0" vertical="center" wrapText="0"/>
    </xf>
    <xf borderId="19" fillId="0" fontId="3" numFmtId="0" xfId="0" applyBorder="1" applyFont="1"/>
    <xf borderId="20" fillId="0" fontId="3" numFmtId="0" xfId="0" applyBorder="1" applyFont="1"/>
    <xf borderId="7" fillId="16" fontId="7" numFmtId="0" xfId="0" applyAlignment="1" applyBorder="1" applyFont="1">
      <alignment vertical="bottom"/>
    </xf>
    <xf borderId="18" fillId="5" fontId="5" numFmtId="1" xfId="0" applyAlignment="1" applyBorder="1" applyFont="1" applyNumberFormat="1">
      <alignment horizontal="center" shrinkToFit="0" vertical="center" wrapText="0"/>
    </xf>
    <xf borderId="7" fillId="16" fontId="7" numFmtId="164" xfId="0" applyAlignment="1" applyBorder="1" applyFont="1" applyNumberFormat="1">
      <alignment vertical="bottom"/>
    </xf>
    <xf borderId="18" fillId="17" fontId="5" numFmtId="1" xfId="0" applyAlignment="1" applyBorder="1" applyFill="1" applyFont="1" applyNumberFormat="1">
      <alignment horizontal="center" shrinkToFit="0" vertical="center" wrapText="0"/>
    </xf>
    <xf borderId="7" fillId="10" fontId="23" numFmtId="164" xfId="0" applyAlignment="1" applyBorder="1" applyFont="1" applyNumberFormat="1">
      <alignment horizontal="right" shrinkToFit="0" vertical="center" wrapText="0"/>
    </xf>
    <xf borderId="0" fillId="0" fontId="7" numFmtId="0" xfId="0" applyAlignment="1" applyFont="1">
      <alignment vertical="bottom"/>
    </xf>
    <xf borderId="0" fillId="0" fontId="7" numFmtId="165" xfId="0" applyAlignment="1" applyFont="1" applyNumberFormat="1">
      <alignment vertical="bottom"/>
    </xf>
    <xf borderId="7" fillId="8" fontId="35" numFmtId="166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vertical="bottom"/>
    </xf>
    <xf borderId="7" fillId="10" fontId="32" numFmtId="164" xfId="0" applyAlignment="1" applyBorder="1" applyFont="1" applyNumberFormat="1">
      <alignment horizontal="right" shrinkToFit="0" vertical="center" wrapText="0"/>
    </xf>
    <xf borderId="7" fillId="9" fontId="37" numFmtId="0" xfId="0" applyAlignment="1" applyBorder="1" applyFont="1">
      <alignment horizontal="center"/>
    </xf>
    <xf borderId="21" fillId="10" fontId="38" numFmtId="1" xfId="0" applyAlignment="1" applyBorder="1" applyFont="1" applyNumberFormat="1">
      <alignment horizontal="center" shrinkToFit="0" vertical="center" wrapText="0"/>
    </xf>
    <xf borderId="7" fillId="10" fontId="24" numFmtId="0" xfId="0" applyAlignment="1" applyBorder="1" applyFont="1">
      <alignment horizontal="center" readingOrder="0" shrinkToFit="0" vertical="center" wrapText="0"/>
    </xf>
    <xf borderId="7" fillId="9" fontId="37" numFmtId="0" xfId="0" applyAlignment="1" applyBorder="1" applyFont="1">
      <alignment horizontal="left"/>
    </xf>
    <xf borderId="22" fillId="0" fontId="3" numFmtId="0" xfId="0" applyBorder="1" applyFont="1"/>
    <xf borderId="7" fillId="9" fontId="39" numFmtId="0" xfId="0" applyAlignment="1" applyBorder="1" applyFont="1">
      <alignment horizontal="center"/>
    </xf>
    <xf borderId="23" fillId="0" fontId="3" numFmtId="0" xfId="0" applyBorder="1" applyFont="1"/>
    <xf borderId="7" fillId="9" fontId="37" numFmtId="4" xfId="0" applyAlignment="1" applyBorder="1" applyFont="1" applyNumberFormat="1">
      <alignment horizontal="center"/>
    </xf>
    <xf borderId="7" fillId="9" fontId="9" numFmtId="3" xfId="0" applyBorder="1" applyFont="1" applyNumberFormat="1"/>
    <xf borderId="7" fillId="9" fontId="9" numFmtId="164" xfId="0" applyBorder="1" applyFont="1" applyNumberFormat="1"/>
    <xf borderId="24" fillId="10" fontId="40" numFmtId="1" xfId="0" applyAlignment="1" applyBorder="1" applyFont="1" applyNumberFormat="1">
      <alignment horizontal="center" shrinkToFit="0" vertical="center" wrapText="0"/>
    </xf>
    <xf borderId="25" fillId="0" fontId="3" numFmtId="0" xfId="0" applyBorder="1" applyFont="1"/>
    <xf borderId="26" fillId="0" fontId="3" numFmtId="0" xfId="0" applyBorder="1" applyFont="1"/>
    <xf borderId="27" fillId="10" fontId="41" numFmtId="1" xfId="0" applyAlignment="1" applyBorder="1" applyFont="1" applyNumberFormat="1">
      <alignment horizontal="center" shrinkToFit="0" vertical="center" wrapText="0"/>
    </xf>
    <xf borderId="7" fillId="9" fontId="9" numFmtId="0" xfId="0" applyAlignment="1" applyBorder="1" applyFont="1">
      <alignment vertical="bottom"/>
    </xf>
    <xf borderId="28" fillId="0" fontId="3" numFmtId="0" xfId="0" applyBorder="1" applyFont="1"/>
    <xf borderId="7" fillId="9" fontId="9" numFmtId="0" xfId="0" applyBorder="1" applyFont="1"/>
    <xf borderId="29" fillId="0" fontId="3" numFmtId="0" xfId="0" applyBorder="1" applyFont="1"/>
    <xf borderId="7" fillId="9" fontId="39" numFmtId="164" xfId="0" applyAlignment="1" applyBorder="1" applyFont="1" applyNumberFormat="1">
      <alignment horizontal="center"/>
    </xf>
    <xf borderId="7" fillId="18" fontId="39" numFmtId="164" xfId="0" applyAlignment="1" applyBorder="1" applyFill="1" applyFont="1" applyNumberFormat="1">
      <alignment horizontal="center"/>
    </xf>
    <xf borderId="0" fillId="0" fontId="42" numFmtId="0" xfId="0" applyAlignment="1" applyFont="1">
      <alignment horizontal="center" shrinkToFit="0" vertical="center" wrapText="0"/>
    </xf>
    <xf borderId="18" fillId="11" fontId="5" numFmtId="164" xfId="0" applyAlignment="1" applyBorder="1" applyFont="1" applyNumberFormat="1">
      <alignment horizontal="center" shrinkToFit="0" vertical="center" wrapText="0"/>
    </xf>
    <xf borderId="18" fillId="6" fontId="5" numFmtId="164" xfId="0" applyAlignment="1" applyBorder="1" applyFont="1" applyNumberFormat="1">
      <alignment horizontal="center" shrinkToFit="0" vertical="center" wrapText="0"/>
    </xf>
    <xf borderId="30" fillId="4" fontId="5" numFmtId="164" xfId="0" applyAlignment="1" applyBorder="1" applyFont="1" applyNumberFormat="1">
      <alignment horizontal="center" shrinkToFit="0" vertical="center" wrapText="0"/>
    </xf>
    <xf borderId="31" fillId="0" fontId="3" numFmtId="0" xfId="0" applyBorder="1" applyFont="1"/>
    <xf borderId="32" fillId="0" fontId="3" numFmtId="0" xfId="0" applyBorder="1" applyFont="1"/>
    <xf borderId="0" fillId="0" fontId="22" numFmtId="0" xfId="0" applyFont="1"/>
    <xf borderId="4" fillId="9" fontId="43" numFmtId="0" xfId="0" applyAlignment="1" applyBorder="1" applyFont="1">
      <alignment horizontal="center" vertical="bottom"/>
    </xf>
    <xf borderId="7" fillId="10" fontId="24" numFmtId="164" xfId="0" applyAlignment="1" applyBorder="1" applyFont="1" applyNumberFormat="1">
      <alignment horizontal="right" readingOrder="0" shrinkToFit="0" vertical="center" wrapText="0"/>
    </xf>
    <xf borderId="5" fillId="9" fontId="43" numFmtId="0" xfId="0" applyAlignment="1" applyBorder="1" applyFont="1">
      <alignment horizontal="center" vertical="bottom"/>
    </xf>
    <xf borderId="5" fillId="7" fontId="15" numFmtId="165" xfId="0" applyAlignment="1" applyBorder="1" applyFont="1" applyNumberFormat="1">
      <alignment horizontal="center" vertical="bottom"/>
    </xf>
    <xf borderId="33" fillId="10" fontId="44" numFmtId="1" xfId="0" applyAlignment="1" applyBorder="1" applyFont="1" applyNumberFormat="1">
      <alignment horizontal="center" shrinkToFit="0" vertical="center" wrapText="0"/>
    </xf>
    <xf borderId="34" fillId="0" fontId="3" numFmtId="0" xfId="0" applyBorder="1" applyFont="1"/>
    <xf borderId="35" fillId="0" fontId="3" numFmtId="0" xfId="0" applyBorder="1" applyFont="1"/>
    <xf borderId="7" fillId="19" fontId="45" numFmtId="0" xfId="0" applyAlignment="1" applyBorder="1" applyFill="1" applyFont="1">
      <alignment horizontal="center"/>
    </xf>
    <xf borderId="36" fillId="10" fontId="46" numFmtId="1" xfId="0" applyAlignment="1" applyBorder="1" applyFont="1" applyNumberFormat="1">
      <alignment horizontal="center" shrinkToFit="0" vertical="center" wrapText="0"/>
    </xf>
    <xf borderId="37" fillId="0" fontId="3" numFmtId="0" xfId="0" applyBorder="1" applyFont="1"/>
    <xf borderId="7" fillId="12" fontId="24" numFmtId="0" xfId="0" applyAlignment="1" applyBorder="1" applyFont="1">
      <alignment horizontal="left" readingOrder="0" shrinkToFit="0" vertical="center" wrapText="0"/>
    </xf>
    <xf borderId="38" fillId="0" fontId="3" numFmtId="0" xfId="0" applyBorder="1" applyFont="1"/>
    <xf borderId="7" fillId="19" fontId="47" numFmtId="0" xfId="0" applyAlignment="1" applyBorder="1" applyFont="1">
      <alignment horizontal="center"/>
    </xf>
    <xf borderId="7" fillId="19" fontId="9" numFmtId="4" xfId="0" applyBorder="1" applyFont="1" applyNumberFormat="1"/>
    <xf borderId="7" fillId="19" fontId="45" numFmtId="3" xfId="0" applyAlignment="1" applyBorder="1" applyFont="1" applyNumberFormat="1">
      <alignment horizontal="center"/>
    </xf>
    <xf borderId="7" fillId="19" fontId="45" numFmtId="164" xfId="0" applyAlignment="1" applyBorder="1" applyFont="1" applyNumberFormat="1">
      <alignment horizontal="center"/>
    </xf>
    <xf borderId="7" fillId="19" fontId="48" numFmtId="164" xfId="0" applyAlignment="1" applyBorder="1" applyFont="1" applyNumberFormat="1">
      <alignment horizontal="center"/>
    </xf>
    <xf borderId="39" fillId="10" fontId="49" numFmtId="1" xfId="0" applyAlignment="1" applyBorder="1" applyFont="1" applyNumberFormat="1">
      <alignment horizontal="center" shrinkToFit="0" vertical="center" wrapText="0"/>
    </xf>
    <xf borderId="40" fillId="0" fontId="3" numFmtId="0" xfId="0" applyBorder="1" applyFont="1"/>
    <xf borderId="41" fillId="0" fontId="3" numFmtId="0" xfId="0" applyBorder="1" applyFont="1"/>
    <xf borderId="7" fillId="12" fontId="24" numFmtId="164" xfId="0" applyAlignment="1" applyBorder="1" applyFont="1" applyNumberFormat="1">
      <alignment horizontal="right" readingOrder="0" shrinkToFit="0" vertical="center" wrapText="0"/>
    </xf>
    <xf borderId="7" fillId="12" fontId="23" numFmtId="164" xfId="0" applyAlignment="1" applyBorder="1" applyFont="1" applyNumberFormat="1">
      <alignment horizontal="right" readingOrder="0" shrinkToFit="0" vertical="center" wrapText="0"/>
    </xf>
    <xf borderId="7" fillId="19" fontId="50" numFmtId="0" xfId="0" applyAlignment="1" applyBorder="1" applyFont="1">
      <alignment horizontal="center" readingOrder="0"/>
    </xf>
    <xf borderId="7" fillId="12" fontId="24" numFmtId="0" xfId="0" applyAlignment="1" applyBorder="1" applyFont="1">
      <alignment horizontal="left" shrinkToFit="0" vertical="center" wrapText="0"/>
    </xf>
    <xf borderId="7" fillId="19" fontId="39" numFmtId="164" xfId="0" applyAlignment="1" applyBorder="1" applyFont="1" applyNumberFormat="1">
      <alignment horizontal="center"/>
    </xf>
    <xf borderId="1" fillId="20" fontId="36" numFmtId="164" xfId="0" applyAlignment="1" applyBorder="1" applyFill="1" applyFont="1" applyNumberFormat="1">
      <alignment horizontal="left" readingOrder="0" shrinkToFit="0" vertical="center" wrapText="0"/>
    </xf>
    <xf borderId="0" fillId="19" fontId="9" numFmtId="0" xfId="0" applyAlignment="1" applyFont="1">
      <alignment vertical="bottom"/>
    </xf>
    <xf borderId="42" fillId="19" fontId="51" numFmtId="0" xfId="0" applyAlignment="1" applyBorder="1" applyFont="1">
      <alignment horizontal="center" shrinkToFit="0" vertical="top" wrapText="1"/>
    </xf>
    <xf borderId="18" fillId="20" fontId="5" numFmtId="0" xfId="0" applyAlignment="1" applyBorder="1" applyFont="1">
      <alignment horizontal="center" shrinkToFit="0" vertical="center" wrapText="0"/>
    </xf>
    <xf borderId="7" fillId="10" fontId="23" numFmtId="0" xfId="0" applyAlignment="1" applyBorder="1" applyFont="1">
      <alignment horizontal="center" shrinkToFit="0" vertical="center" wrapText="0"/>
    </xf>
    <xf borderId="0" fillId="19" fontId="9" numFmtId="0" xfId="0" applyAlignment="1" applyFont="1">
      <alignment horizontal="center" vertical="bottom"/>
    </xf>
    <xf borderId="7" fillId="10" fontId="24" numFmtId="0" xfId="0" applyAlignment="1" applyBorder="1" applyFont="1">
      <alignment horizontal="left" shrinkToFit="0" vertical="center" wrapText="0"/>
    </xf>
    <xf borderId="18" fillId="11" fontId="5" numFmtId="0" xfId="0" applyAlignment="1" applyBorder="1" applyFont="1">
      <alignment horizontal="center" shrinkToFit="0" vertical="center" wrapText="0"/>
    </xf>
    <xf borderId="7" fillId="10" fontId="45" numFmtId="0" xfId="0" applyAlignment="1" applyBorder="1" applyFont="1">
      <alignment horizontal="center"/>
    </xf>
    <xf borderId="18" fillId="2" fontId="5" numFmtId="0" xfId="0" applyAlignment="1" applyBorder="1" applyFont="1">
      <alignment horizontal="center" shrinkToFit="0" vertical="center" wrapText="0"/>
    </xf>
    <xf borderId="7" fillId="10" fontId="47" numFmtId="0" xfId="0" applyAlignment="1" applyBorder="1" applyFont="1">
      <alignment horizontal="center"/>
    </xf>
    <xf borderId="7" fillId="10" fontId="9" numFmtId="4" xfId="0" applyBorder="1" applyFont="1" applyNumberFormat="1"/>
    <xf borderId="7" fillId="10" fontId="45" numFmtId="3" xfId="0" applyAlignment="1" applyBorder="1" applyFont="1" applyNumberFormat="1">
      <alignment horizontal="center"/>
    </xf>
    <xf borderId="7" fillId="10" fontId="45" numFmtId="164" xfId="0" applyAlignment="1" applyBorder="1" applyFont="1" applyNumberFormat="1">
      <alignment horizontal="center"/>
    </xf>
    <xf borderId="7" fillId="10" fontId="24" numFmtId="0" xfId="0" applyAlignment="1" applyBorder="1" applyFont="1">
      <alignment horizontal="left" readingOrder="0" shrinkToFit="0" vertical="center" wrapText="0"/>
    </xf>
    <xf borderId="43" fillId="10" fontId="52" numFmtId="1" xfId="0" applyAlignment="1" applyBorder="1" applyFont="1" applyNumberFormat="1">
      <alignment horizontal="center" shrinkToFit="0" vertical="center" wrapText="0"/>
    </xf>
    <xf borderId="44" fillId="0" fontId="3" numFmtId="0" xfId="0" applyBorder="1" applyFont="1"/>
    <xf borderId="45" fillId="0" fontId="3" numFmtId="0" xfId="0" applyBorder="1" applyFont="1"/>
    <xf borderId="7" fillId="10" fontId="48" numFmtId="164" xfId="0" applyAlignment="1" applyBorder="1" applyFont="1" applyNumberFormat="1">
      <alignment horizontal="center"/>
    </xf>
    <xf borderId="7" fillId="0" fontId="50" numFmtId="0" xfId="0" applyAlignment="1" applyBorder="1" applyFont="1">
      <alignment horizontal="center" readingOrder="0"/>
    </xf>
    <xf borderId="1" fillId="6" fontId="36" numFmtId="164" xfId="0" applyAlignment="1" applyBorder="1" applyFont="1" applyNumberFormat="1">
      <alignment horizontal="left" shrinkToFit="0" vertical="center" wrapText="0"/>
    </xf>
    <xf borderId="42" fillId="21" fontId="51" numFmtId="0" xfId="0" applyAlignment="1" applyBorder="1" applyFill="1" applyFont="1">
      <alignment horizontal="center" shrinkToFit="0" vertical="top" wrapText="1"/>
    </xf>
    <xf borderId="0" fillId="0" fontId="9" numFmtId="0" xfId="0" applyAlignment="1" applyFont="1">
      <alignment horizontal="center" vertical="bottom"/>
    </xf>
    <xf borderId="18" fillId="6" fontId="5" numFmtId="0" xfId="0" applyAlignment="1" applyBorder="1" applyFont="1">
      <alignment horizontal="center" readingOrder="0" shrinkToFit="0" vertical="center" wrapText="0"/>
    </xf>
    <xf borderId="18" fillId="17" fontId="5" numFmtId="0" xfId="0" applyAlignment="1" applyBorder="1" applyFont="1">
      <alignment horizontal="center" shrinkToFit="0" vertical="center" wrapText="0"/>
    </xf>
    <xf borderId="7" fillId="10" fontId="45" numFmtId="164" xfId="0" applyAlignment="1" applyBorder="1" applyFont="1" applyNumberFormat="1">
      <alignment horizontal="center" readingOrder="0"/>
    </xf>
    <xf borderId="21" fillId="10" fontId="38" numFmtId="167" xfId="0" applyAlignment="1" applyBorder="1" applyFont="1" applyNumberFormat="1">
      <alignment horizontal="center" shrinkToFit="0" vertical="center" wrapText="0"/>
    </xf>
    <xf borderId="36" fillId="10" fontId="46" numFmtId="167" xfId="0" applyAlignment="1" applyBorder="1" applyFont="1" applyNumberFormat="1">
      <alignment horizontal="center" shrinkToFit="0" vertical="center" wrapText="0"/>
    </xf>
    <xf borderId="27" fillId="10" fontId="41" numFmtId="167" xfId="0" applyAlignment="1" applyBorder="1" applyFont="1" applyNumberFormat="1">
      <alignment horizontal="center" shrinkToFit="0" vertical="center" wrapText="0"/>
    </xf>
    <xf borderId="0" fillId="0" fontId="53" numFmtId="0" xfId="0" applyAlignment="1" applyFont="1">
      <alignment horizontal="center" shrinkToFit="0" vertical="center" wrapText="0"/>
    </xf>
    <xf borderId="18" fillId="11" fontId="5" numFmtId="0" xfId="0" applyAlignment="1" applyBorder="1" applyFont="1">
      <alignment horizontal="center" readingOrder="0" shrinkToFit="0" vertical="center" wrapText="0"/>
    </xf>
    <xf borderId="18" fillId="14" fontId="5" numFmtId="0" xfId="0" applyAlignment="1" applyBorder="1" applyFont="1">
      <alignment horizontal="center" readingOrder="0" shrinkToFit="0" vertical="center" wrapText="0"/>
    </xf>
    <xf borderId="18" fillId="5" fontId="5" numFmtId="0" xfId="0" applyAlignment="1" applyBorder="1" applyFont="1">
      <alignment horizontal="center" shrinkToFit="0" vertical="center" wrapText="0"/>
    </xf>
    <xf borderId="33" fillId="10" fontId="44" numFmtId="167" xfId="0" applyAlignment="1" applyBorder="1" applyFont="1" applyNumberFormat="1">
      <alignment horizontal="center" shrinkToFit="0" vertical="center" wrapText="0"/>
    </xf>
    <xf borderId="0" fillId="0" fontId="9" numFmtId="4" xfId="0" applyAlignment="1" applyFont="1" applyNumberFormat="1">
      <alignment vertical="bottom"/>
    </xf>
    <xf borderId="46" fillId="10" fontId="54" numFmtId="167" xfId="0" applyAlignment="1" applyBorder="1" applyFont="1" applyNumberFormat="1">
      <alignment horizontal="center" readingOrder="0" shrinkToFit="0" vertical="center" wrapText="0"/>
    </xf>
    <xf borderId="47" fillId="0" fontId="3" numFmtId="0" xfId="0" applyBorder="1" applyFont="1"/>
    <xf borderId="48" fillId="0" fontId="3" numFmtId="0" xfId="0" applyBorder="1" applyFont="1"/>
    <xf borderId="24" fillId="10" fontId="40" numFmtId="167" xfId="0" applyAlignment="1" applyBorder="1" applyFont="1" applyNumberFormat="1">
      <alignment horizontal="center" shrinkToFit="0" vertical="center" wrapText="0"/>
    </xf>
    <xf borderId="0" fillId="0" fontId="53" numFmtId="1" xfId="0" applyAlignment="1" applyFont="1" applyNumberFormat="1">
      <alignment horizontal="center" shrinkToFit="0" vertical="center" wrapText="0"/>
    </xf>
    <xf borderId="49" fillId="21" fontId="51" numFmtId="0" xfId="0" applyAlignment="1" applyBorder="1" applyFont="1">
      <alignment horizontal="center" shrinkToFit="0" vertical="top" wrapText="1"/>
    </xf>
    <xf borderId="50" fillId="0" fontId="3" numFmtId="0" xfId="0" applyBorder="1" applyFont="1"/>
    <xf borderId="7" fillId="9" fontId="39" numFmtId="4" xfId="0" applyAlignment="1" applyBorder="1" applyFont="1" applyNumberFormat="1">
      <alignment horizontal="center"/>
    </xf>
    <xf borderId="7" fillId="9" fontId="37" numFmtId="3" xfId="0" applyAlignment="1" applyBorder="1" applyFont="1" applyNumberFormat="1">
      <alignment horizontal="center"/>
    </xf>
    <xf borderId="39" fillId="22" fontId="36" numFmtId="164" xfId="0" applyAlignment="1" applyBorder="1" applyFill="1" applyFont="1" applyNumberFormat="1">
      <alignment horizontal="left" shrinkToFit="0" vertical="center" wrapText="0"/>
    </xf>
    <xf borderId="7" fillId="9" fontId="37" numFmtId="164" xfId="0" applyAlignment="1" applyBorder="1" applyFont="1" applyNumberFormat="1">
      <alignment horizontal="center"/>
    </xf>
    <xf borderId="7" fillId="0" fontId="50" numFmtId="0" xfId="0" applyAlignment="1" applyBorder="1" applyFont="1">
      <alignment horizontal="center"/>
    </xf>
    <xf borderId="39" fillId="22" fontId="55" numFmtId="167" xfId="0" applyAlignment="1" applyBorder="1" applyFont="1" applyNumberFormat="1">
      <alignment horizontal="center" shrinkToFit="0" vertical="center" wrapText="0"/>
    </xf>
    <xf borderId="0" fillId="0" fontId="53" numFmtId="0" xfId="0" applyAlignment="1" applyFont="1">
      <alignment horizontal="center" shrinkToFit="0" vertical="center" wrapText="1"/>
    </xf>
    <xf borderId="51" fillId="0" fontId="3" numFmtId="0" xfId="0" applyBorder="1" applyFont="1"/>
    <xf borderId="52" fillId="0" fontId="3" numFmtId="0" xfId="0" applyBorder="1" applyFont="1"/>
    <xf borderId="0" fillId="0" fontId="56" numFmtId="1" xfId="0" applyAlignment="1" applyFont="1" applyNumberFormat="1">
      <alignment horizontal="center" shrinkToFit="0" vertical="center" wrapText="0"/>
    </xf>
    <xf borderId="0" fillId="0" fontId="57" numFmtId="167" xfId="0" applyAlignment="1" applyFont="1" applyNumberFormat="1">
      <alignment horizontal="center" shrinkToFit="0" vertical="center" wrapText="0"/>
    </xf>
    <xf borderId="0" fillId="0" fontId="58" numFmtId="167" xfId="0" applyAlignment="1" applyFont="1" applyNumberFormat="1">
      <alignment horizontal="center" shrinkToFit="0" vertical="center" wrapText="0"/>
    </xf>
    <xf borderId="53" fillId="0" fontId="3" numFmtId="0" xfId="0" applyBorder="1" applyFont="1"/>
    <xf borderId="54" fillId="0" fontId="3" numFmtId="0" xfId="0" applyBorder="1" applyFont="1"/>
    <xf borderId="1" fillId="11" fontId="21" numFmtId="0" xfId="0" applyAlignment="1" applyBorder="1" applyFont="1">
      <alignment horizontal="left" shrinkToFit="0" vertical="center" wrapText="0"/>
    </xf>
    <xf borderId="7" fillId="19" fontId="45" numFmtId="0" xfId="0" applyAlignment="1" applyBorder="1" applyFont="1">
      <alignment horizontal="center"/>
    </xf>
    <xf borderId="7" fillId="19" fontId="47" numFmtId="0" xfId="0" applyAlignment="1" applyBorder="1" applyFont="1">
      <alignment horizontal="center"/>
    </xf>
    <xf borderId="18" fillId="11" fontId="5" numFmtId="1" xfId="0" applyAlignment="1" applyBorder="1" applyFont="1" applyNumberFormat="1">
      <alignment horizontal="center" shrinkToFit="0" vertical="center" wrapText="0"/>
    </xf>
    <xf borderId="7" fillId="19" fontId="45" numFmtId="4" xfId="0" applyAlignment="1" applyBorder="1" applyFont="1" applyNumberFormat="1">
      <alignment horizontal="center"/>
    </xf>
    <xf borderId="18" fillId="6" fontId="5" numFmtId="1" xfId="0" applyAlignment="1" applyBorder="1" applyFont="1" applyNumberFormat="1">
      <alignment horizontal="center" shrinkToFit="0" vertical="center" wrapText="0"/>
    </xf>
    <xf borderId="7" fillId="19" fontId="50" numFmtId="0" xfId="0" applyAlignment="1" applyBorder="1" applyFont="1">
      <alignment horizontal="center"/>
    </xf>
    <xf borderId="7" fillId="19" fontId="47" numFmtId="0" xfId="0" applyAlignment="1" applyBorder="1" applyFont="1">
      <alignment horizontal="center" vertical="bottom"/>
    </xf>
    <xf borderId="33" fillId="10" fontId="59" numFmtId="167" xfId="0" applyAlignment="1" applyBorder="1" applyFont="1" applyNumberFormat="1">
      <alignment horizontal="center" shrinkToFit="0" vertical="center" wrapText="0"/>
    </xf>
    <xf borderId="7" fillId="19" fontId="9" numFmtId="0" xfId="0" applyBorder="1" applyFont="1"/>
    <xf borderId="7" fillId="19" fontId="47" numFmtId="164" xfId="0" applyAlignment="1" applyBorder="1" applyFont="1" applyNumberFormat="1">
      <alignment horizontal="center"/>
    </xf>
    <xf borderId="27" fillId="10" fontId="60" numFmtId="167" xfId="0" applyAlignment="1" applyBorder="1" applyFont="1" applyNumberFormat="1">
      <alignment horizontal="center" shrinkToFit="0" vertical="center" wrapText="0"/>
    </xf>
    <xf borderId="36" fillId="10" fontId="61" numFmtId="167" xfId="0" applyAlignment="1" applyBorder="1" applyFont="1" applyNumberFormat="1">
      <alignment horizontal="center" shrinkToFit="0" vertical="center" wrapText="0"/>
    </xf>
    <xf borderId="18" fillId="6" fontId="5" numFmtId="0" xfId="0" applyAlignment="1" applyBorder="1" applyFont="1">
      <alignment horizontal="center" shrinkToFit="0" vertical="center" wrapText="0"/>
    </xf>
    <xf borderId="42" fillId="19" fontId="9" numFmtId="0" xfId="0" applyAlignment="1" applyBorder="1" applyFont="1">
      <alignment vertical="top"/>
    </xf>
    <xf borderId="7" fillId="18" fontId="50" numFmtId="0" xfId="0" applyAlignment="1" applyBorder="1" applyFont="1">
      <alignment horizontal="center"/>
    </xf>
    <xf borderId="7" fillId="18" fontId="50" numFmtId="0" xfId="0" applyAlignment="1" applyBorder="1" applyFont="1">
      <alignment horizontal="center" readingOrder="0"/>
    </xf>
    <xf borderId="55" fillId="10" fontId="62" numFmtId="167" xfId="0" applyAlignment="1" applyBorder="1" applyFont="1" applyNumberFormat="1">
      <alignment horizontal="center" shrinkToFit="0" vertical="center" wrapText="0"/>
    </xf>
    <xf borderId="7" fillId="18" fontId="63" numFmtId="0" xfId="0" applyAlignment="1" applyBorder="1" applyFont="1">
      <alignment horizontal="center"/>
    </xf>
    <xf borderId="22" fillId="0" fontId="7" numFmtId="0" xfId="0" applyAlignment="1" applyBorder="1" applyFont="1">
      <alignment horizontal="center" shrinkToFit="0" vertical="bottom" wrapText="0"/>
    </xf>
    <xf borderId="7" fillId="18" fontId="63" numFmtId="4" xfId="0" applyAlignment="1" applyBorder="1" applyFont="1" applyNumberFormat="1">
      <alignment horizontal="center"/>
    </xf>
    <xf borderId="22" fillId="0" fontId="7" numFmtId="0" xfId="0" applyAlignment="1" applyBorder="1" applyFont="1">
      <alignment shrinkToFit="0" vertical="bottom" wrapText="0"/>
    </xf>
    <xf borderId="7" fillId="18" fontId="50" numFmtId="3" xfId="0" applyAlignment="1" applyBorder="1" applyFont="1" applyNumberFormat="1">
      <alignment horizontal="center"/>
    </xf>
    <xf borderId="7" fillId="18" fontId="50" numFmtId="164" xfId="0" applyAlignment="1" applyBorder="1" applyFont="1" applyNumberFormat="1">
      <alignment horizontal="center"/>
    </xf>
    <xf borderId="56" fillId="10" fontId="61" numFmtId="167" xfId="0" applyAlignment="1" applyBorder="1" applyFont="1" applyNumberFormat="1">
      <alignment horizontal="center" shrinkToFit="0" vertical="center" wrapText="0"/>
    </xf>
    <xf borderId="7" fillId="18" fontId="63" numFmtId="164" xfId="0" applyAlignment="1" applyBorder="1" applyFont="1" applyNumberFormat="1">
      <alignment horizontal="center"/>
    </xf>
    <xf borderId="37" fillId="0" fontId="7" numFmtId="0" xfId="0" applyAlignment="1" applyBorder="1" applyFont="1">
      <alignment horizontal="center" shrinkToFit="0" vertical="bottom" wrapText="0"/>
    </xf>
    <xf borderId="37" fillId="0" fontId="7" numFmtId="0" xfId="0" applyAlignment="1" applyBorder="1" applyFont="1">
      <alignment shrinkToFit="0" vertical="bottom" wrapText="0"/>
    </xf>
    <xf borderId="7" fillId="18" fontId="63" numFmtId="0" xfId="0" applyAlignment="1" applyBorder="1" applyFont="1">
      <alignment horizontal="center"/>
    </xf>
    <xf borderId="4" fillId="18" fontId="7" numFmtId="0" xfId="0" applyAlignment="1" applyBorder="1" applyFont="1">
      <alignment horizontal="center" vertical="bottom"/>
    </xf>
    <xf borderId="0" fillId="18" fontId="9" numFmtId="0" xfId="0" applyAlignment="1" applyFont="1">
      <alignment vertical="bottom"/>
    </xf>
    <xf borderId="57" fillId="10" fontId="60" numFmtId="166" xfId="0" applyAlignment="1" applyBorder="1" applyFont="1" applyNumberFormat="1">
      <alignment horizontal="center" shrinkToFit="0" vertical="center" wrapText="0"/>
    </xf>
    <xf borderId="28" fillId="0" fontId="7" numFmtId="0" xfId="0" applyAlignment="1" applyBorder="1" applyFont="1">
      <alignment shrinkToFit="0" vertical="bottom" wrapText="0"/>
    </xf>
    <xf borderId="7" fillId="0" fontId="50" numFmtId="0" xfId="0" applyAlignment="1" applyBorder="1" applyFont="1">
      <alignment horizontal="center"/>
    </xf>
    <xf borderId="7" fillId="9" fontId="37" numFmtId="0" xfId="0" applyAlignment="1" applyBorder="1" applyFont="1">
      <alignment horizontal="left"/>
    </xf>
    <xf borderId="7" fillId="18" fontId="50" numFmtId="0" xfId="0" applyAlignment="1" applyBorder="1" applyFont="1">
      <alignment horizontal="center"/>
    </xf>
    <xf borderId="7" fillId="18" fontId="63" numFmtId="0" xfId="0" applyAlignment="1" applyBorder="1" applyFont="1">
      <alignment horizontal="center" readingOrder="0"/>
    </xf>
    <xf borderId="8" fillId="2" fontId="19" numFmtId="0" xfId="0" applyAlignment="1" applyBorder="1" applyFont="1">
      <alignment horizontal="center" shrinkToFit="0" vertical="center" wrapText="0"/>
    </xf>
    <xf borderId="7" fillId="2" fontId="17" numFmtId="164" xfId="0" applyAlignment="1" applyBorder="1" applyFont="1" applyNumberFormat="1">
      <alignment horizontal="right" shrinkToFit="0" vertical="center" wrapText="0"/>
    </xf>
    <xf borderId="7" fillId="2" fontId="7" numFmtId="0" xfId="0" applyAlignment="1" applyBorder="1" applyFont="1">
      <alignment shrinkToFit="0" vertical="bottom" wrapText="0"/>
    </xf>
    <xf borderId="7" fillId="23" fontId="45" numFmtId="0" xfId="0" applyAlignment="1" applyBorder="1" applyFill="1" applyFont="1">
      <alignment horizontal="center"/>
    </xf>
    <xf borderId="7" fillId="23" fontId="47" numFmtId="0" xfId="0" applyAlignment="1" applyBorder="1" applyFont="1">
      <alignment horizontal="center"/>
    </xf>
    <xf borderId="7" fillId="23" fontId="9" numFmtId="0" xfId="0" applyBorder="1" applyFont="1"/>
    <xf borderId="7" fillId="23" fontId="45" numFmtId="3" xfId="0" applyAlignment="1" applyBorder="1" applyFont="1" applyNumberFormat="1">
      <alignment horizontal="center"/>
    </xf>
    <xf borderId="7" fillId="23" fontId="45" numFmtId="164" xfId="0" applyAlignment="1" applyBorder="1" applyFont="1" applyNumberFormat="1">
      <alignment horizontal="center"/>
    </xf>
    <xf borderId="7" fillId="23" fontId="47" numFmtId="164" xfId="0" applyAlignment="1" applyBorder="1" applyFont="1" applyNumberFormat="1">
      <alignment horizontal="center"/>
    </xf>
    <xf borderId="7" fillId="23" fontId="9" numFmtId="164" xfId="0" applyBorder="1" applyFont="1" applyNumberFormat="1"/>
    <xf borderId="1" fillId="4" fontId="64" numFmtId="0" xfId="0" applyAlignment="1" applyBorder="1" applyFont="1">
      <alignment horizontal="center" shrinkToFit="0" vertical="center" wrapText="0"/>
    </xf>
    <xf borderId="1" fillId="5" fontId="65" numFmtId="0" xfId="0" applyAlignment="1" applyBorder="1" applyFont="1">
      <alignment horizontal="center" shrinkToFit="0" vertical="center" wrapText="0"/>
    </xf>
    <xf borderId="6" fillId="5" fontId="66" numFmtId="0" xfId="0" applyAlignment="1" applyBorder="1" applyFont="1">
      <alignment horizontal="center" shrinkToFit="0" vertical="center" wrapText="1"/>
    </xf>
    <xf borderId="6" fillId="2" fontId="66" numFmtId="0" xfId="0" applyAlignment="1" applyBorder="1" applyFont="1">
      <alignment horizontal="center" shrinkToFit="0" vertical="center" wrapText="1"/>
    </xf>
    <xf borderId="6" fillId="11" fontId="66" numFmtId="0" xfId="0" applyAlignment="1" applyBorder="1" applyFont="1">
      <alignment horizontal="center" shrinkToFit="0" vertical="center" wrapText="1"/>
    </xf>
    <xf borderId="6" fillId="6" fontId="66" numFmtId="0" xfId="0" applyAlignment="1" applyBorder="1" applyFont="1">
      <alignment horizontal="center" shrinkToFit="0" vertical="center" wrapText="1"/>
    </xf>
    <xf borderId="6" fillId="17" fontId="66" numFmtId="0" xfId="0" applyAlignment="1" applyBorder="1" applyFont="1">
      <alignment horizontal="center" shrinkToFit="0" vertical="center" wrapText="1"/>
    </xf>
    <xf borderId="6" fillId="14" fontId="66" numFmtId="0" xfId="0" applyAlignment="1" applyBorder="1" applyFont="1">
      <alignment horizontal="center" shrinkToFit="0" vertical="center" wrapText="1"/>
    </xf>
    <xf borderId="6" fillId="4" fontId="66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left" shrinkToFit="0" vertical="center" wrapText="0"/>
    </xf>
    <xf borderId="7" fillId="12" fontId="67" numFmtId="0" xfId="0" applyAlignment="1" applyBorder="1" applyFont="1">
      <alignment horizontal="left" shrinkToFit="0" vertical="center" wrapText="0"/>
    </xf>
    <xf borderId="7" fillId="12" fontId="68" numFmtId="164" xfId="0" applyAlignment="1" applyBorder="1" applyFont="1" applyNumberFormat="1">
      <alignment horizontal="right" shrinkToFit="0" vertical="center" wrapText="0"/>
    </xf>
    <xf borderId="7" fillId="12" fontId="67" numFmtId="164" xfId="0" applyAlignment="1" applyBorder="1" applyFont="1" applyNumberFormat="1">
      <alignment horizontal="right" shrinkToFit="0" vertical="center" wrapText="0"/>
    </xf>
    <xf borderId="7" fillId="10" fontId="47" numFmtId="164" xfId="0" applyAlignment="1" applyBorder="1" applyFont="1" applyNumberFormat="1">
      <alignment horizontal="center"/>
    </xf>
    <xf borderId="7" fillId="12" fontId="69" numFmtId="164" xfId="0" applyAlignment="1" applyBorder="1" applyFont="1" applyNumberFormat="1">
      <alignment horizontal="right" shrinkToFit="0" vertical="center" wrapText="0"/>
    </xf>
    <xf borderId="7" fillId="10" fontId="9" numFmtId="0" xfId="0" applyBorder="1" applyFont="1"/>
    <xf borderId="7" fillId="12" fontId="70" numFmtId="164" xfId="0" applyAlignment="1" applyBorder="1" applyFont="1" applyNumberFormat="1">
      <alignment horizontal="right" shrinkToFit="0" vertical="center" wrapText="0"/>
    </xf>
    <xf borderId="7" fillId="12" fontId="71" numFmtId="164" xfId="0" applyAlignment="1" applyBorder="1" applyFont="1" applyNumberFormat="1">
      <alignment horizontal="right" shrinkToFit="0" vertical="center" wrapText="0"/>
    </xf>
    <xf borderId="7" fillId="12" fontId="72" numFmtId="0" xfId="0" applyAlignment="1" applyBorder="1" applyFont="1">
      <alignment horizontal="left" shrinkToFit="0" vertical="center" wrapText="0"/>
    </xf>
    <xf borderId="7" fillId="10" fontId="67" numFmtId="0" xfId="0" applyAlignment="1" applyBorder="1" applyFont="1">
      <alignment horizontal="left" shrinkToFit="0" vertical="center" wrapText="0"/>
    </xf>
    <xf borderId="7" fillId="10" fontId="68" numFmtId="164" xfId="0" applyAlignment="1" applyBorder="1" applyFont="1" applyNumberFormat="1">
      <alignment horizontal="right" shrinkToFit="0" vertical="center" wrapText="0"/>
    </xf>
    <xf borderId="7" fillId="10" fontId="67" numFmtId="164" xfId="0" applyAlignment="1" applyBorder="1" applyFont="1" applyNumberFormat="1">
      <alignment horizontal="right" shrinkToFit="0" vertical="center" wrapText="0"/>
    </xf>
    <xf borderId="7" fillId="10" fontId="69" numFmtId="164" xfId="0" applyAlignment="1" applyBorder="1" applyFont="1" applyNumberFormat="1">
      <alignment horizontal="right" shrinkToFit="0" vertical="center" wrapText="0"/>
    </xf>
    <xf borderId="7" fillId="10" fontId="70" numFmtId="164" xfId="0" applyAlignment="1" applyBorder="1" applyFont="1" applyNumberFormat="1">
      <alignment horizontal="right" shrinkToFit="0" vertical="center" wrapText="0"/>
    </xf>
    <xf borderId="7" fillId="10" fontId="71" numFmtId="164" xfId="0" applyAlignment="1" applyBorder="1" applyFont="1" applyNumberFormat="1">
      <alignment horizontal="right" shrinkToFit="0" vertical="center" wrapText="0"/>
    </xf>
    <xf borderId="7" fillId="10" fontId="72" numFmtId="0" xfId="0" applyAlignment="1" applyBorder="1" applyFont="1">
      <alignment horizontal="left" shrinkToFit="0" vertical="center" wrapText="0"/>
    </xf>
    <xf borderId="1" fillId="20" fontId="17" numFmtId="0" xfId="0" applyAlignment="1" applyBorder="1" applyFont="1">
      <alignment horizontal="left" shrinkToFit="0" vertical="center" wrapText="0"/>
    </xf>
    <xf borderId="58" fillId="12" fontId="67" numFmtId="0" xfId="0" applyAlignment="1" applyBorder="1" applyFont="1">
      <alignment horizontal="left" shrinkToFit="0" vertical="center" wrapText="0"/>
    </xf>
    <xf borderId="58" fillId="12" fontId="68" numFmtId="164" xfId="0" applyAlignment="1" applyBorder="1" applyFont="1" applyNumberFormat="1">
      <alignment horizontal="right" shrinkToFit="0" vertical="center" wrapText="0"/>
    </xf>
    <xf borderId="58" fillId="12" fontId="67" numFmtId="164" xfId="0" applyAlignment="1" applyBorder="1" applyFont="1" applyNumberFormat="1">
      <alignment horizontal="right" shrinkToFit="0" vertical="center" wrapText="0"/>
    </xf>
    <xf borderId="58" fillId="12" fontId="69" numFmtId="164" xfId="0" applyAlignment="1" applyBorder="1" applyFont="1" applyNumberFormat="1">
      <alignment horizontal="right" shrinkToFit="0" vertical="center" wrapText="0"/>
    </xf>
    <xf borderId="58" fillId="12" fontId="70" numFmtId="164" xfId="0" applyAlignment="1" applyBorder="1" applyFont="1" applyNumberFormat="1">
      <alignment horizontal="right" shrinkToFit="0" vertical="center" wrapText="0"/>
    </xf>
    <xf borderId="58" fillId="12" fontId="71" numFmtId="164" xfId="0" applyAlignment="1" applyBorder="1" applyFont="1" applyNumberFormat="1">
      <alignment horizontal="right" shrinkToFit="0" vertical="center" wrapText="0"/>
    </xf>
    <xf borderId="58" fillId="12" fontId="72" numFmtId="0" xfId="0" applyAlignment="1" applyBorder="1" applyFont="1">
      <alignment horizontal="left" shrinkToFit="0" vertical="center" wrapText="0"/>
    </xf>
    <xf borderId="1" fillId="5" fontId="17" numFmtId="0" xfId="0" applyAlignment="1" applyBorder="1" applyFont="1">
      <alignment horizontal="left" readingOrder="0" shrinkToFit="0" vertical="center" wrapText="0"/>
    </xf>
    <xf borderId="2" fillId="5" fontId="17" numFmtId="10" xfId="0" applyAlignment="1" applyBorder="1" applyFont="1" applyNumberFormat="1">
      <alignment horizontal="center" readingOrder="0" shrinkToFit="0" vertical="center" wrapText="0"/>
    </xf>
    <xf borderId="3" fillId="5" fontId="17" numFmtId="10" xfId="0" applyAlignment="1" applyBorder="1" applyFont="1" applyNumberFormat="1">
      <alignment horizontal="center" readingOrder="0" shrinkToFit="0" vertical="center" wrapText="0"/>
    </xf>
    <xf borderId="0" fillId="0" fontId="73" numFmtId="10" xfId="0" applyAlignment="1" applyFont="1" applyNumberFormat="1">
      <alignment readingOrder="0"/>
    </xf>
    <xf borderId="0" fillId="0" fontId="73" numFmtId="0" xfId="0" applyFont="1"/>
    <xf borderId="17" fillId="12" fontId="67" numFmtId="0" xfId="0" applyAlignment="1" applyBorder="1" applyFont="1">
      <alignment horizontal="left" shrinkToFit="0" vertical="center" wrapText="0"/>
    </xf>
    <xf borderId="17" fillId="12" fontId="68" numFmtId="164" xfId="0" applyAlignment="1" applyBorder="1" applyFont="1" applyNumberFormat="1">
      <alignment horizontal="center" shrinkToFit="0" vertical="center" wrapText="0"/>
    </xf>
    <xf borderId="17" fillId="12" fontId="69" numFmtId="164" xfId="0" applyAlignment="1" applyBorder="1" applyFont="1" applyNumberFormat="1">
      <alignment horizontal="right" shrinkToFit="0" vertical="center" wrapText="0"/>
    </xf>
    <xf borderId="17" fillId="12" fontId="68" numFmtId="164" xfId="0" applyAlignment="1" applyBorder="1" applyFont="1" applyNumberFormat="1">
      <alignment horizontal="right" shrinkToFit="0" vertical="center" wrapText="0"/>
    </xf>
    <xf borderId="17" fillId="12" fontId="70" numFmtId="164" xfId="0" applyAlignment="1" applyBorder="1" applyFont="1" applyNumberFormat="1">
      <alignment horizontal="right" shrinkToFit="0" vertical="center" wrapText="0"/>
    </xf>
    <xf borderId="17" fillId="12" fontId="71" numFmtId="164" xfId="0" applyAlignment="1" applyBorder="1" applyFont="1" applyNumberFormat="1">
      <alignment horizontal="right" shrinkToFit="0" vertical="center" wrapText="0"/>
    </xf>
    <xf borderId="17" fillId="12" fontId="72" numFmtId="0" xfId="0" applyAlignment="1" applyBorder="1" applyFont="1">
      <alignment horizontal="left" shrinkToFit="0" vertical="center" wrapText="0"/>
    </xf>
    <xf borderId="7" fillId="10" fontId="68" numFmtId="164" xfId="0" applyAlignment="1" applyBorder="1" applyFont="1" applyNumberFormat="1">
      <alignment horizontal="center" shrinkToFit="0" vertical="center" wrapText="0"/>
    </xf>
    <xf borderId="7" fillId="12" fontId="68" numFmtId="164" xfId="0" applyAlignment="1" applyBorder="1" applyFont="1" applyNumberFormat="1">
      <alignment horizontal="center" shrinkToFit="0" vertical="center" wrapText="0"/>
    </xf>
    <xf borderId="7" fillId="19" fontId="45" numFmtId="0" xfId="0" applyAlignment="1" applyBorder="1" applyFont="1">
      <alignment horizontal="left"/>
    </xf>
    <xf borderId="7" fillId="19" fontId="47" numFmtId="0" xfId="0" applyAlignment="1" applyBorder="1" applyFont="1">
      <alignment horizontal="center" readingOrder="0"/>
    </xf>
    <xf borderId="7" fillId="19" fontId="47" numFmtId="0" xfId="0" applyAlignment="1" applyBorder="1" applyFont="1">
      <alignment horizontal="center" readingOrder="0" vertical="bottom"/>
    </xf>
    <xf borderId="59" fillId="19" fontId="9" numFmtId="0" xfId="0" applyAlignment="1" applyBorder="1" applyFont="1">
      <alignment vertical="top"/>
    </xf>
    <xf borderId="4" fillId="16" fontId="5" numFmtId="0" xfId="0" applyAlignment="1" applyBorder="1" applyFont="1">
      <alignment horizontal="center" readingOrder="0"/>
    </xf>
    <xf borderId="4" fillId="16" fontId="9" numFmtId="0" xfId="0" applyAlignment="1" applyBorder="1" applyFont="1">
      <alignment vertical="bottom"/>
    </xf>
    <xf borderId="4" fillId="16" fontId="9" numFmtId="3" xfId="0" applyAlignment="1" applyBorder="1" applyFont="1" applyNumberFormat="1">
      <alignment vertical="bottom"/>
    </xf>
    <xf borderId="1" fillId="2" fontId="17" numFmtId="0" xfId="0" applyAlignment="1" applyBorder="1" applyFont="1">
      <alignment horizontal="right" shrinkToFit="0" vertical="center" wrapText="0"/>
    </xf>
    <xf borderId="60" fillId="0" fontId="3" numFmtId="0" xfId="0" applyBorder="1" applyFont="1"/>
    <xf borderId="7" fillId="16" fontId="9" numFmtId="0" xfId="0" applyAlignment="1" applyBorder="1" applyFont="1">
      <alignment vertical="bottom"/>
    </xf>
    <xf borderId="7" fillId="2" fontId="5" numFmtId="164" xfId="0" applyAlignment="1" applyBorder="1" applyFont="1" applyNumberFormat="1">
      <alignment horizontal="right" shrinkToFit="0" vertical="center" wrapText="0"/>
    </xf>
    <xf borderId="7" fillId="9" fontId="37" numFmtId="0" xfId="0" applyAlignment="1" applyBorder="1" applyFont="1">
      <alignment horizontal="center" readingOrder="0"/>
    </xf>
    <xf borderId="8" fillId="7" fontId="67" numFmtId="0" xfId="0" applyAlignment="1" applyBorder="1" applyFont="1">
      <alignment horizontal="right" shrinkToFit="0" vertical="center" wrapText="0"/>
    </xf>
    <xf borderId="7" fillId="7" fontId="67" numFmtId="0" xfId="0" applyAlignment="1" applyBorder="1" applyFont="1">
      <alignment horizontal="center" shrinkToFit="0" vertical="center" wrapText="0"/>
    </xf>
    <xf borderId="7" fillId="7" fontId="7" numFmtId="0" xfId="0" applyAlignment="1" applyBorder="1" applyFont="1">
      <alignment shrinkToFit="0" vertical="bottom" wrapText="0"/>
    </xf>
    <xf borderId="7" fillId="7" fontId="74" numFmtId="0" xfId="0" applyAlignment="1" applyBorder="1" applyFont="1">
      <alignment horizontal="center" shrinkToFit="0" vertical="bottom" wrapText="0"/>
    </xf>
    <xf borderId="7" fillId="24" fontId="75" numFmtId="0" xfId="0" applyAlignment="1" applyBorder="1" applyFill="1" applyFont="1">
      <alignment horizontal="center" shrinkToFit="0" vertical="center" wrapText="0"/>
    </xf>
    <xf borderId="7" fillId="24" fontId="75" numFmtId="0" xfId="0" applyAlignment="1" applyBorder="1" applyFont="1">
      <alignment horizontal="left" shrinkToFit="0" vertical="center" wrapText="0"/>
    </xf>
    <xf borderId="7" fillId="24" fontId="76" numFmtId="0" xfId="0" applyAlignment="1" applyBorder="1" applyFont="1">
      <alignment horizontal="center" shrinkToFit="0" vertical="center" wrapText="0"/>
    </xf>
    <xf borderId="7" fillId="24" fontId="76" numFmtId="4" xfId="0" applyAlignment="1" applyBorder="1" applyFont="1" applyNumberFormat="1">
      <alignment horizontal="right" shrinkToFit="0" vertical="center" wrapText="0"/>
    </xf>
    <xf borderId="7" fillId="24" fontId="75" numFmtId="3" xfId="0" applyAlignment="1" applyBorder="1" applyFont="1" applyNumberFormat="1">
      <alignment horizontal="right" shrinkToFit="0" vertical="center" wrapText="0"/>
    </xf>
    <xf borderId="7" fillId="24" fontId="75" numFmtId="164" xfId="0" applyAlignment="1" applyBorder="1" applyFont="1" applyNumberFormat="1">
      <alignment horizontal="right" shrinkToFit="0" vertical="center" wrapText="0"/>
    </xf>
    <xf borderId="7" fillId="24" fontId="76" numFmtId="164" xfId="0" applyAlignment="1" applyBorder="1" applyFont="1" applyNumberFormat="1">
      <alignment horizontal="right" shrinkToFit="0" vertical="center" wrapText="0"/>
    </xf>
    <xf borderId="7" fillId="24" fontId="77" numFmtId="0" xfId="0" applyAlignment="1" applyBorder="1" applyFont="1">
      <alignment horizontal="center" readingOrder="0" shrinkToFit="0" vertical="center" wrapText="0"/>
    </xf>
    <xf borderId="7" fillId="24" fontId="76" numFmtId="0" xfId="0" applyAlignment="1" applyBorder="1" applyFont="1">
      <alignment horizontal="left" readingOrder="0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1" fillId="4" fontId="78" numFmtId="0" xfId="0" applyAlignment="1" applyBorder="1" applyFont="1">
      <alignment horizontal="center" shrinkToFit="0" vertical="center" wrapText="0"/>
    </xf>
    <xf borderId="0" fillId="0" fontId="79" numFmtId="0" xfId="0" applyAlignment="1" applyFont="1">
      <alignment horizontal="center" shrinkToFit="0" vertical="center" wrapText="0"/>
    </xf>
    <xf borderId="6" fillId="5" fontId="19" numFmtId="0" xfId="0" applyAlignment="1" applyBorder="1" applyFont="1">
      <alignment horizontal="center" shrinkToFit="0" vertical="center" wrapText="1"/>
    </xf>
    <xf borderId="6" fillId="6" fontId="19" numFmtId="0" xfId="0" applyAlignment="1" applyBorder="1" applyFont="1">
      <alignment horizontal="center" shrinkToFit="0" vertical="center" wrapText="1"/>
    </xf>
    <xf borderId="6" fillId="14" fontId="19" numFmtId="0" xfId="0" applyAlignment="1" applyBorder="1" applyFont="1">
      <alignment horizontal="center" shrinkToFit="0" vertical="center" wrapText="1"/>
    </xf>
    <xf borderId="7" fillId="12" fontId="80" numFmtId="0" xfId="0" applyAlignment="1" applyBorder="1" applyFont="1">
      <alignment horizontal="center" shrinkToFit="0" vertical="center" wrapText="0"/>
    </xf>
    <xf borderId="7" fillId="12" fontId="80" numFmtId="0" xfId="0" applyAlignment="1" applyBorder="1" applyFont="1">
      <alignment horizontal="left" shrinkToFit="0" vertical="center" wrapText="0"/>
    </xf>
    <xf borderId="7" fillId="25" fontId="37" numFmtId="0" xfId="0" applyAlignment="1" applyBorder="1" applyFill="1" applyFont="1">
      <alignment horizontal="center" readingOrder="0" shrinkToFit="0" vertical="center" wrapText="0"/>
    </xf>
    <xf borderId="7" fillId="12" fontId="80" numFmtId="164" xfId="0" applyAlignment="1" applyBorder="1" applyFont="1" applyNumberFormat="1">
      <alignment horizontal="right" shrinkToFit="0" vertical="center" wrapText="0"/>
    </xf>
    <xf borderId="7" fillId="25" fontId="37" numFmtId="0" xfId="0" applyAlignment="1" applyBorder="1" applyFont="1">
      <alignment horizontal="left" shrinkToFit="0" vertical="center" wrapText="0"/>
    </xf>
    <xf borderId="7" fillId="10" fontId="80" numFmtId="0" xfId="0" applyAlignment="1" applyBorder="1" applyFont="1">
      <alignment horizontal="center" shrinkToFit="0" vertical="center" wrapText="0"/>
    </xf>
    <xf borderId="7" fillId="25" fontId="39" numFmtId="0" xfId="0" applyAlignment="1" applyBorder="1" applyFont="1">
      <alignment horizontal="center" readingOrder="0" shrinkToFit="0" vertical="center" wrapText="0"/>
    </xf>
    <xf borderId="7" fillId="10" fontId="80" numFmtId="0" xfId="0" applyAlignment="1" applyBorder="1" applyFont="1">
      <alignment horizontal="left" shrinkToFit="0" vertical="center" wrapText="0"/>
    </xf>
    <xf borderId="7" fillId="25" fontId="39" numFmtId="4" xfId="0" applyAlignment="1" applyBorder="1" applyFont="1" applyNumberFormat="1">
      <alignment horizontal="right" readingOrder="0" shrinkToFit="0" vertical="center" wrapText="0"/>
    </xf>
    <xf borderId="7" fillId="25" fontId="37" numFmtId="3" xfId="0" applyAlignment="1" applyBorder="1" applyFont="1" applyNumberFormat="1">
      <alignment horizontal="right" shrinkToFit="0" vertical="center" wrapText="0"/>
    </xf>
    <xf borderId="7" fillId="10" fontId="80" numFmtId="164" xfId="0" applyAlignment="1" applyBorder="1" applyFont="1" applyNumberFormat="1">
      <alignment horizontal="right" shrinkToFit="0" vertical="center" wrapText="0"/>
    </xf>
    <xf borderId="7" fillId="25" fontId="37" numFmtId="164" xfId="0" applyAlignment="1" applyBorder="1" applyFont="1" applyNumberFormat="1">
      <alignment horizontal="right" shrinkToFit="0" vertical="center" wrapText="0"/>
    </xf>
    <xf borderId="7" fillId="25" fontId="39" numFmtId="164" xfId="0" applyAlignment="1" applyBorder="1" applyFont="1" applyNumberFormat="1">
      <alignment horizontal="right" shrinkToFit="0" vertical="center" wrapText="0"/>
    </xf>
    <xf borderId="7" fillId="25" fontId="81" numFmtId="0" xfId="0" applyAlignment="1" applyBorder="1" applyFont="1">
      <alignment horizontal="center" readingOrder="0" shrinkToFit="0" vertical="center" wrapText="0"/>
    </xf>
    <xf borderId="7" fillId="25" fontId="39" numFmtId="0" xfId="0" applyAlignment="1" applyBorder="1" applyFont="1">
      <alignment horizontal="center" shrinkToFit="0" vertical="center" wrapText="0"/>
    </xf>
    <xf borderId="7" fillId="10" fontId="80" numFmtId="168" xfId="0" applyAlignment="1" applyBorder="1" applyFont="1" applyNumberFormat="1">
      <alignment horizontal="center" readingOrder="0" shrinkToFit="0" vertical="center" wrapText="0"/>
    </xf>
    <xf borderId="7" fillId="10" fontId="80" numFmtId="0" xfId="0" applyAlignment="1" applyBorder="1" applyFont="1">
      <alignment horizontal="left" readingOrder="0" shrinkToFit="0" vertical="center" wrapText="0"/>
    </xf>
    <xf borderId="7" fillId="12" fontId="80" numFmtId="168" xfId="0" applyAlignment="1" applyBorder="1" applyFont="1" applyNumberFormat="1">
      <alignment horizontal="center" readingOrder="0" shrinkToFit="0" vertical="center" wrapText="0"/>
    </xf>
    <xf borderId="7" fillId="12" fontId="80" numFmtId="0" xfId="0" applyAlignment="1" applyBorder="1" applyFont="1">
      <alignment horizontal="left" readingOrder="0" shrinkToFit="0" vertical="center" wrapText="0"/>
    </xf>
    <xf borderId="7" fillId="12" fontId="80" numFmtId="0" xfId="0" applyAlignment="1" applyBorder="1" applyFont="1">
      <alignment horizontal="center" readingOrder="0" shrinkToFit="0" vertical="center" wrapText="0"/>
    </xf>
    <xf borderId="7" fillId="12" fontId="80" numFmtId="164" xfId="0" applyAlignment="1" applyBorder="1" applyFont="1" applyNumberFormat="1">
      <alignment horizontal="right" readingOrder="0" shrinkToFit="0" vertical="center" wrapText="0"/>
    </xf>
    <xf borderId="7" fillId="10" fontId="80" numFmtId="0" xfId="0" applyAlignment="1" applyBorder="1" applyFont="1">
      <alignment horizontal="center" readingOrder="0" shrinkToFit="0" vertical="center" wrapText="0"/>
    </xf>
    <xf borderId="7" fillId="10" fontId="80" numFmtId="164" xfId="0" applyAlignment="1" applyBorder="1" applyFont="1" applyNumberFormat="1">
      <alignment horizontal="right" readingOrder="0" shrinkToFit="0" vertical="center" wrapText="0"/>
    </xf>
    <xf borderId="7" fillId="12" fontId="82" numFmtId="0" xfId="0" applyAlignment="1" applyBorder="1" applyFont="1">
      <alignment horizontal="left" readingOrder="0" shrinkToFit="0" vertical="center" wrapText="0"/>
    </xf>
    <xf borderId="4" fillId="25" fontId="43" numFmtId="0" xfId="0" applyAlignment="1" applyBorder="1" applyFont="1">
      <alignment horizontal="center" shrinkToFit="0" vertical="bottom" wrapText="0"/>
    </xf>
    <xf borderId="0" fillId="25" fontId="22" numFmtId="0" xfId="0" applyFont="1"/>
    <xf borderId="7" fillId="9" fontId="37" numFmtId="0" xfId="0" applyAlignment="1" applyBorder="1" applyFont="1">
      <alignment horizontal="center" readingOrder="0" shrinkToFit="0" vertical="center" wrapText="0"/>
    </xf>
    <xf borderId="7" fillId="9" fontId="37" numFmtId="0" xfId="0" applyAlignment="1" applyBorder="1" applyFont="1">
      <alignment horizontal="left" shrinkToFit="0" vertical="center" wrapText="0"/>
    </xf>
    <xf borderId="7" fillId="9" fontId="39" numFmtId="0" xfId="0" applyAlignment="1" applyBorder="1" applyFont="1">
      <alignment horizontal="center" readingOrder="0" shrinkToFit="0" vertical="center" wrapText="0"/>
    </xf>
    <xf borderId="7" fillId="9" fontId="39" numFmtId="4" xfId="0" applyAlignment="1" applyBorder="1" applyFont="1" applyNumberFormat="1">
      <alignment horizontal="right" shrinkToFit="0" vertical="center" wrapText="0"/>
    </xf>
    <xf borderId="7" fillId="9" fontId="37" numFmtId="3" xfId="0" applyAlignment="1" applyBorder="1" applyFont="1" applyNumberFormat="1">
      <alignment horizontal="right" shrinkToFit="0" vertical="center" wrapText="0"/>
    </xf>
    <xf borderId="7" fillId="9" fontId="37" numFmtId="164" xfId="0" applyAlignment="1" applyBorder="1" applyFont="1" applyNumberFormat="1">
      <alignment horizontal="right" shrinkToFit="0" vertical="center" wrapText="0"/>
    </xf>
    <xf borderId="7" fillId="9" fontId="39" numFmtId="164" xfId="0" applyAlignment="1" applyBorder="1" applyFont="1" applyNumberFormat="1">
      <alignment horizontal="right" shrinkToFit="0" vertical="center" wrapText="0"/>
    </xf>
    <xf borderId="7" fillId="9" fontId="81" numFmtId="0" xfId="0" applyAlignment="1" applyBorder="1" applyFont="1">
      <alignment horizontal="center" shrinkToFit="0" vertical="center" wrapText="0"/>
    </xf>
    <xf borderId="7" fillId="9" fontId="39" numFmtId="0" xfId="0" applyAlignment="1" applyBorder="1" applyFont="1">
      <alignment horizontal="left" shrinkToFit="0" vertical="center" wrapText="0"/>
    </xf>
    <xf borderId="7" fillId="9" fontId="39" numFmtId="0" xfId="0" applyAlignment="1" applyBorder="1" applyFont="1">
      <alignment horizontal="center" shrinkToFit="0" vertical="center" wrapText="0"/>
    </xf>
    <xf borderId="4" fillId="9" fontId="43" numFmtId="0" xfId="0" applyAlignment="1" applyBorder="1" applyFont="1">
      <alignment horizontal="center" shrinkToFit="0" vertical="bottom" wrapText="0"/>
    </xf>
    <xf borderId="7" fillId="23" fontId="45" numFmtId="0" xfId="0" applyAlignment="1" applyBorder="1" applyFont="1">
      <alignment horizontal="center" vertical="bottom"/>
    </xf>
    <xf borderId="7" fillId="23" fontId="45" numFmtId="0" xfId="0" applyAlignment="1" applyBorder="1" applyFont="1">
      <alignment horizontal="center" readingOrder="0" vertical="bottom"/>
    </xf>
    <xf borderId="7" fillId="23" fontId="45" numFmtId="0" xfId="0" applyAlignment="1" applyBorder="1" applyFont="1">
      <alignment horizontal="center" vertical="bottom"/>
    </xf>
    <xf borderId="7" fillId="23" fontId="47" numFmtId="0" xfId="0" applyAlignment="1" applyBorder="1" applyFont="1">
      <alignment horizontal="center" readingOrder="0" vertical="bottom"/>
    </xf>
    <xf borderId="7" fillId="23" fontId="47" numFmtId="4" xfId="0" applyAlignment="1" applyBorder="1" applyFont="1" applyNumberFormat="1">
      <alignment horizontal="center" vertical="bottom"/>
    </xf>
    <xf borderId="7" fillId="23" fontId="45" numFmtId="3" xfId="0" applyAlignment="1" applyBorder="1" applyFont="1" applyNumberFormat="1">
      <alignment horizontal="center" vertical="bottom"/>
    </xf>
    <xf borderId="7" fillId="23" fontId="45" numFmtId="164" xfId="0" applyAlignment="1" applyBorder="1" applyFont="1" applyNumberFormat="1">
      <alignment horizontal="center" vertical="bottom"/>
    </xf>
    <xf borderId="7" fillId="23" fontId="47" numFmtId="164" xfId="0" applyAlignment="1" applyBorder="1" applyFont="1" applyNumberFormat="1">
      <alignment horizontal="center" vertical="bottom"/>
    </xf>
    <xf borderId="7" fillId="0" fontId="50" numFmtId="0" xfId="0" applyAlignment="1" applyBorder="1" applyFont="1">
      <alignment horizontal="center" vertical="bottom"/>
    </xf>
    <xf borderId="7" fillId="23" fontId="7" numFmtId="0" xfId="0" applyAlignment="1" applyBorder="1" applyFont="1">
      <alignment vertical="bottom"/>
    </xf>
    <xf borderId="7" fillId="23" fontId="47" numFmtId="0" xfId="0" applyAlignment="1" applyBorder="1" applyFont="1">
      <alignment horizontal="center" vertical="bottom"/>
    </xf>
    <xf borderId="7" fillId="10" fontId="83" numFmtId="164" xfId="0" applyAlignment="1" applyBorder="1" applyFont="1" applyNumberFormat="1">
      <alignment horizontal="right" shrinkToFit="0" vertical="center" wrapText="0"/>
    </xf>
    <xf borderId="7" fillId="12" fontId="83" numFmtId="164" xfId="0" applyAlignment="1" applyBorder="1" applyFont="1" applyNumberFormat="1">
      <alignment horizontal="right" readingOrder="0" shrinkToFit="0" vertical="center" wrapText="0"/>
    </xf>
    <xf borderId="7" fillId="10" fontId="84" numFmtId="0" xfId="0" applyBorder="1" applyFont="1"/>
    <xf borderId="7" fillId="10" fontId="84" numFmtId="164" xfId="0" applyBorder="1" applyFont="1" applyNumberFormat="1"/>
    <xf borderId="7" fillId="10" fontId="83" numFmtId="164" xfId="0" applyAlignment="1" applyBorder="1" applyFont="1" applyNumberFormat="1">
      <alignment horizontal="right" readingOrder="0" shrinkToFit="0" vertical="center" wrapText="0"/>
    </xf>
    <xf borderId="7" fillId="26" fontId="85" numFmtId="0" xfId="0" applyBorder="1" applyFill="1" applyFont="1"/>
    <xf borderId="7" fillId="26" fontId="85" numFmtId="0" xfId="0" applyAlignment="1" applyBorder="1" applyFont="1">
      <alignment horizontal="left" shrinkToFit="0" vertical="center" wrapText="0"/>
    </xf>
    <xf borderId="7" fillId="26" fontId="85" numFmtId="0" xfId="0" applyAlignment="1" applyBorder="1" applyFont="1">
      <alignment horizontal="center" shrinkToFit="0" vertical="center" wrapText="0"/>
    </xf>
    <xf borderId="7" fillId="26" fontId="85" numFmtId="164" xfId="0" applyBorder="1" applyFont="1" applyNumberFormat="1"/>
    <xf borderId="0" fillId="26" fontId="86" numFmtId="0" xfId="0" applyFont="1"/>
    <xf borderId="7" fillId="10" fontId="83" numFmtId="0" xfId="0" applyAlignment="1" applyBorder="1" applyFont="1">
      <alignment horizontal="left" readingOrder="0" shrinkToFit="0" vertical="center" wrapText="0"/>
    </xf>
    <xf borderId="7" fillId="10" fontId="83" numFmtId="0" xfId="0" applyAlignment="1" applyBorder="1" applyFont="1">
      <alignment horizontal="center" readingOrder="0" shrinkToFit="0" vertical="center" wrapText="0"/>
    </xf>
    <xf borderId="7" fillId="12" fontId="84" numFmtId="0" xfId="0" applyBorder="1" applyFont="1"/>
    <xf borderId="7" fillId="10" fontId="84" numFmtId="0" xfId="0" applyAlignment="1" applyBorder="1" applyFont="1">
      <alignment readingOrder="0"/>
    </xf>
    <xf borderId="7" fillId="9" fontId="37" numFmtId="0" xfId="0" applyAlignment="1" applyBorder="1" applyFont="1">
      <alignment horizontal="center" shrinkToFit="0" vertical="center" wrapText="0"/>
    </xf>
    <xf borderId="7" fillId="10" fontId="84" numFmtId="164" xfId="0" applyAlignment="1" applyBorder="1" applyFont="1" applyNumberFormat="1">
      <alignment readingOrder="0"/>
    </xf>
    <xf borderId="7" fillId="12" fontId="84" numFmtId="0" xfId="0" applyAlignment="1" applyBorder="1" applyFont="1">
      <alignment readingOrder="0"/>
    </xf>
    <xf borderId="7" fillId="12" fontId="84" numFmtId="164" xfId="0" applyBorder="1" applyFont="1" applyNumberFormat="1"/>
    <xf borderId="7" fillId="9" fontId="37" numFmtId="164" xfId="0" applyAlignment="1" applyBorder="1" applyFont="1" applyNumberFormat="1">
      <alignment horizontal="right" readingOrder="0" shrinkToFit="0" vertical="center" wrapText="0"/>
    </xf>
    <xf borderId="7" fillId="12" fontId="84" numFmtId="164" xfId="0" applyAlignment="1" applyBorder="1" applyFont="1" applyNumberFormat="1">
      <alignment readingOrder="0"/>
    </xf>
    <xf borderId="7" fillId="23" fontId="45" numFmtId="0" xfId="0" applyAlignment="1" applyBorder="1" applyFont="1">
      <alignment horizontal="center" shrinkToFit="0" vertical="center" wrapText="0"/>
    </xf>
    <xf borderId="7" fillId="23" fontId="47" numFmtId="0" xfId="0" applyAlignment="1" applyBorder="1" applyFont="1">
      <alignment horizontal="center" shrinkToFit="0" vertical="center" wrapText="0"/>
    </xf>
    <xf borderId="7" fillId="23" fontId="47" numFmtId="0" xfId="0" applyAlignment="1" applyBorder="1" applyFont="1">
      <alignment horizontal="right" shrinkToFit="0" vertical="center" wrapText="0"/>
    </xf>
    <xf borderId="7" fillId="23" fontId="45" numFmtId="3" xfId="0" applyAlignment="1" applyBorder="1" applyFont="1" applyNumberFormat="1">
      <alignment horizontal="right" shrinkToFit="0" vertical="center" wrapText="0"/>
    </xf>
    <xf borderId="7" fillId="23" fontId="45" numFmtId="164" xfId="0" applyAlignment="1" applyBorder="1" applyFont="1" applyNumberFormat="1">
      <alignment horizontal="center" shrinkToFit="0" vertical="center" wrapText="0"/>
    </xf>
    <xf borderId="7" fillId="23" fontId="47" numFmtId="164" xfId="0" applyAlignment="1" applyBorder="1" applyFont="1" applyNumberFormat="1">
      <alignment horizontal="right" shrinkToFit="0" vertical="center" wrapText="0"/>
    </xf>
    <xf borderId="7" fillId="23" fontId="47" numFmtId="0" xfId="0" applyAlignment="1" applyBorder="1" applyFont="1">
      <alignment horizontal="left" shrinkToFit="0" vertical="center" wrapText="0"/>
    </xf>
    <xf borderId="7" fillId="10" fontId="45" numFmtId="0" xfId="0" applyAlignment="1" applyBorder="1" applyFont="1">
      <alignment horizontal="center" shrinkToFit="0" vertical="center" wrapText="0"/>
    </xf>
    <xf borderId="7" fillId="10" fontId="47" numFmtId="0" xfId="0" applyAlignment="1" applyBorder="1" applyFont="1">
      <alignment horizontal="center" shrinkToFit="0" vertical="center" wrapText="0"/>
    </xf>
    <xf borderId="7" fillId="10" fontId="47" numFmtId="0" xfId="0" applyAlignment="1" applyBorder="1" applyFont="1">
      <alignment horizontal="right" shrinkToFit="0" vertical="center" wrapText="0"/>
    </xf>
    <xf borderId="7" fillId="10" fontId="45" numFmtId="3" xfId="0" applyAlignment="1" applyBorder="1" applyFont="1" applyNumberFormat="1">
      <alignment horizontal="right" shrinkToFit="0" vertical="center" wrapText="0"/>
    </xf>
    <xf borderId="7" fillId="10" fontId="45" numFmtId="164" xfId="0" applyAlignment="1" applyBorder="1" applyFont="1" applyNumberFormat="1">
      <alignment horizontal="center" shrinkToFit="0" vertical="center" wrapText="0"/>
    </xf>
    <xf borderId="7" fillId="10" fontId="47" numFmtId="164" xfId="0" applyAlignment="1" applyBorder="1" applyFont="1" applyNumberFormat="1">
      <alignment horizontal="right" shrinkToFit="0" vertical="center" wrapText="0"/>
    </xf>
    <xf borderId="7" fillId="10" fontId="47" numFmtId="0" xfId="0" applyAlignment="1" applyBorder="1" applyFont="1">
      <alignment horizontal="left" shrinkToFit="0" vertical="center" wrapText="0"/>
    </xf>
    <xf borderId="7" fillId="2" fontId="19" numFmtId="164" xfId="0" applyAlignment="1" applyBorder="1" applyFont="1" applyNumberFormat="1">
      <alignment horizontal="right" shrinkToFit="0" vertical="center" wrapText="0"/>
    </xf>
    <xf borderId="0" fillId="0" fontId="84" numFmtId="0" xfId="0" applyAlignment="1" applyFont="1">
      <alignment shrinkToFit="0" vertical="bottom" wrapText="0"/>
    </xf>
    <xf borderId="7" fillId="19" fontId="37" numFmtId="0" xfId="0" applyAlignment="1" applyBorder="1" applyFont="1">
      <alignment horizontal="center" shrinkToFit="0" vertical="center" wrapText="0"/>
    </xf>
    <xf borderId="7" fillId="19" fontId="37" numFmtId="0" xfId="0" applyAlignment="1" applyBorder="1" applyFont="1">
      <alignment horizontal="center" readingOrder="0" shrinkToFit="0" vertical="center" wrapText="0"/>
    </xf>
    <xf borderId="7" fillId="19" fontId="37" numFmtId="0" xfId="0" applyAlignment="1" applyBorder="1" applyFont="1">
      <alignment horizontal="left" shrinkToFit="0" vertical="center" wrapText="0"/>
    </xf>
    <xf borderId="7" fillId="19" fontId="39" numFmtId="0" xfId="0" applyAlignment="1" applyBorder="1" applyFont="1">
      <alignment horizontal="center" readingOrder="0" shrinkToFit="0" vertical="center" wrapText="0"/>
    </xf>
    <xf borderId="7" fillId="19" fontId="39" numFmtId="4" xfId="0" applyAlignment="1" applyBorder="1" applyFont="1" applyNumberFormat="1">
      <alignment horizontal="right" shrinkToFit="0" vertical="center" wrapText="0"/>
    </xf>
    <xf borderId="7" fillId="19" fontId="37" numFmtId="3" xfId="0" applyAlignment="1" applyBorder="1" applyFont="1" applyNumberFormat="1">
      <alignment horizontal="right" shrinkToFit="0" vertical="center" wrapText="0"/>
    </xf>
    <xf borderId="7" fillId="19" fontId="37" numFmtId="164" xfId="0" applyAlignment="1" applyBorder="1" applyFont="1" applyNumberFormat="1">
      <alignment horizontal="right" shrinkToFit="0" vertical="center" wrapText="0"/>
    </xf>
    <xf borderId="7" fillId="19" fontId="39" numFmtId="164" xfId="0" applyAlignment="1" applyBorder="1" applyFont="1" applyNumberFormat="1">
      <alignment horizontal="right" shrinkToFit="0" vertical="center" wrapText="0"/>
    </xf>
    <xf borderId="7" fillId="9" fontId="81" numFmtId="0" xfId="0" applyAlignment="1" applyBorder="1" applyFont="1">
      <alignment horizontal="center" readingOrder="0" shrinkToFit="0" vertical="center" wrapText="0"/>
    </xf>
    <xf borderId="7" fillId="25" fontId="76" numFmtId="0" xfId="0" applyAlignment="1" applyBorder="1" applyFont="1">
      <alignment horizontal="left" shrinkToFit="0" vertical="center" wrapText="0"/>
    </xf>
    <xf borderId="7" fillId="19" fontId="39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1" fillId="3" fontId="87" numFmtId="0" xfId="0" applyAlignment="1" applyBorder="1" applyFont="1">
      <alignment horizontal="center" readingOrder="0" shrinkToFit="0" vertical="center" wrapText="0"/>
    </xf>
    <xf borderId="2" fillId="3" fontId="87" numFmtId="0" xfId="0" applyAlignment="1" applyBorder="1" applyFont="1">
      <alignment horizontal="center" shrinkToFit="0" vertical="center" wrapText="0"/>
    </xf>
    <xf borderId="3" fillId="3" fontId="87" numFmtId="0" xfId="0" applyAlignment="1" applyBorder="1" applyFont="1">
      <alignment horizontal="center" shrinkToFit="0" vertical="center" wrapText="0"/>
    </xf>
    <xf borderId="58" fillId="15" fontId="5" numFmtId="0" xfId="0" applyAlignment="1" applyBorder="1" applyFont="1">
      <alignment horizontal="center" readingOrder="0" shrinkToFit="0" vertical="center" wrapText="1"/>
    </xf>
    <xf borderId="58" fillId="15" fontId="5" numFmtId="0" xfId="0" applyAlignment="1" applyBorder="1" applyFont="1">
      <alignment horizontal="center" shrinkToFit="0" vertical="center" wrapText="1"/>
    </xf>
    <xf borderId="8" fillId="9" fontId="37" numFmtId="0" xfId="0" applyAlignment="1" applyBorder="1" applyFont="1">
      <alignment horizontal="center" readingOrder="0" shrinkToFit="0" vertical="center" wrapText="0"/>
    </xf>
    <xf borderId="9" fillId="9" fontId="37" numFmtId="0" xfId="0" applyAlignment="1" applyBorder="1" applyFont="1">
      <alignment horizontal="center" shrinkToFit="0" vertical="center" wrapText="0"/>
    </xf>
    <xf borderId="9" fillId="9" fontId="37" numFmtId="0" xfId="0" applyAlignment="1" applyBorder="1" applyFont="1">
      <alignment horizontal="center" readingOrder="0" shrinkToFit="0" vertical="center" wrapText="0"/>
    </xf>
    <xf borderId="11" fillId="9" fontId="37" numFmtId="0" xfId="0" applyAlignment="1" applyBorder="1" applyFont="1">
      <alignment horizontal="center" readingOrder="0" shrinkToFit="0" vertical="center" wrapText="0"/>
    </xf>
    <xf borderId="7" fillId="12" fontId="83" numFmtId="164" xfId="0" applyAlignment="1" applyBorder="1" applyFont="1" applyNumberFormat="1">
      <alignment horizontal="right" shrinkToFit="0" vertical="center" wrapText="0"/>
    </xf>
    <xf borderId="7" fillId="10" fontId="45" numFmtId="0" xfId="0" applyAlignment="1" applyBorder="1" applyFont="1">
      <alignment horizontal="center" readingOrder="0" shrinkToFit="0" vertical="center" wrapText="0"/>
    </xf>
    <xf borderId="7" fillId="10" fontId="45" numFmtId="0" xfId="0" applyAlignment="1" applyBorder="1" applyFont="1">
      <alignment horizontal="left" shrinkToFit="0" vertical="center" wrapText="0"/>
    </xf>
    <xf borderId="7" fillId="10" fontId="47" numFmtId="4" xfId="0" applyAlignment="1" applyBorder="1" applyFont="1" applyNumberFormat="1">
      <alignment horizontal="left" shrinkToFit="0" vertical="center" wrapText="0"/>
    </xf>
    <xf borderId="7" fillId="10" fontId="45" numFmtId="3" xfId="0" applyAlignment="1" applyBorder="1" applyFont="1" applyNumberFormat="1">
      <alignment horizontal="right" readingOrder="0" shrinkToFit="0" vertical="center" wrapText="0"/>
    </xf>
    <xf borderId="7" fillId="10" fontId="45" numFmtId="4" xfId="0" applyAlignment="1" applyBorder="1" applyFont="1" applyNumberFormat="1">
      <alignment horizontal="right" readingOrder="0" shrinkToFit="0" vertical="center" wrapText="0"/>
    </xf>
    <xf borderId="7" fillId="21" fontId="88" numFmtId="0" xfId="0" applyAlignment="1" applyBorder="1" applyFont="1">
      <alignment horizontal="center" shrinkToFit="0" vertical="center" wrapText="0"/>
    </xf>
    <xf borderId="7" fillId="10" fontId="45" numFmtId="164" xfId="0" applyAlignment="1" applyBorder="1" applyFont="1" applyNumberFormat="1">
      <alignment horizontal="right" readingOrder="0" shrinkToFit="0" vertical="center" wrapText="0"/>
    </xf>
    <xf borderId="7" fillId="21" fontId="89" numFmtId="0" xfId="0" applyAlignment="1" applyBorder="1" applyFont="1">
      <alignment horizontal="center" shrinkToFit="0" vertical="center" wrapText="0"/>
    </xf>
    <xf borderId="7" fillId="21" fontId="89" numFmtId="0" xfId="0" applyAlignment="1" applyBorder="1" applyFont="1">
      <alignment horizontal="right" shrinkToFit="0" vertical="center" wrapText="0"/>
    </xf>
    <xf borderId="7" fillId="21" fontId="88" numFmtId="3" xfId="0" applyAlignment="1" applyBorder="1" applyFont="1" applyNumberFormat="1">
      <alignment horizontal="right" shrinkToFit="0" vertical="center" wrapText="0"/>
    </xf>
    <xf borderId="7" fillId="21" fontId="88" numFmtId="164" xfId="0" applyAlignment="1" applyBorder="1" applyFont="1" applyNumberFormat="1">
      <alignment horizontal="right" shrinkToFit="0" vertical="center" wrapText="0"/>
    </xf>
    <xf borderId="7" fillId="10" fontId="45" numFmtId="4" xfId="0" applyAlignment="1" applyBorder="1" applyFont="1" applyNumberFormat="1">
      <alignment horizontal="right" shrinkToFit="0" vertical="center" wrapText="0"/>
    </xf>
    <xf borderId="7" fillId="21" fontId="89" numFmtId="164" xfId="0" applyAlignment="1" applyBorder="1" applyFont="1" applyNumberFormat="1">
      <alignment horizontal="right" shrinkToFit="0" vertical="center" wrapText="0"/>
    </xf>
    <xf borderId="8" fillId="9" fontId="37" numFmtId="0" xfId="0" applyAlignment="1" applyBorder="1" applyFont="1">
      <alignment horizontal="center" shrinkToFit="0" vertical="center" wrapText="0"/>
    </xf>
    <xf borderId="7" fillId="21" fontId="88" numFmtId="0" xfId="0" applyAlignment="1" applyBorder="1" applyFont="1">
      <alignment horizontal="center" readingOrder="0" shrinkToFit="0" vertical="center" wrapText="0"/>
    </xf>
    <xf borderId="7" fillId="21" fontId="89" numFmtId="0" xfId="0" applyAlignment="1" applyBorder="1" applyFont="1">
      <alignment horizontal="left" readingOrder="0" shrinkToFit="0" vertical="center" wrapText="0"/>
    </xf>
    <xf borderId="11" fillId="9" fontId="37" numFmtId="0" xfId="0" applyAlignment="1" applyBorder="1" applyFont="1">
      <alignment horizontal="center" shrinkToFit="0" vertical="center" wrapText="0"/>
    </xf>
    <xf borderId="7" fillId="10" fontId="90" numFmtId="164" xfId="0" applyAlignment="1" applyBorder="1" applyFont="1" applyNumberFormat="1">
      <alignment readingOrder="0"/>
    </xf>
    <xf borderId="7" fillId="10" fontId="45" numFmtId="164" xfId="0" applyAlignment="1" applyBorder="1" applyFont="1" applyNumberFormat="1">
      <alignment horizontal="right" shrinkToFit="0" vertical="center" wrapText="0"/>
    </xf>
    <xf borderId="7" fillId="12" fontId="90" numFmtId="164" xfId="0" applyAlignment="1" applyBorder="1" applyFont="1" applyNumberFormat="1">
      <alignment readingOrder="0"/>
    </xf>
    <xf borderId="0" fillId="0" fontId="91" numFmtId="0" xfId="0" applyFont="1"/>
    <xf borderId="7" fillId="21" fontId="89" numFmtId="0" xfId="0" applyAlignment="1" applyBorder="1" applyFont="1">
      <alignment horizontal="left" shrinkToFit="0" vertical="center" wrapText="0"/>
    </xf>
    <xf borderId="6" fillId="15" fontId="5" numFmtId="0" xfId="0" applyAlignment="1" applyBorder="1" applyFont="1">
      <alignment horizontal="center" shrinkToFit="0" vertical="center" wrapText="1"/>
    </xf>
    <xf borderId="6" fillId="15" fontId="5" numFmtId="3" xfId="0" applyAlignment="1" applyBorder="1" applyFont="1" applyNumberFormat="1">
      <alignment horizontal="center" shrinkToFit="0" vertical="center" wrapText="1"/>
    </xf>
    <xf borderId="0" fillId="0" fontId="22" numFmtId="0" xfId="0" applyAlignment="1" applyFont="1">
      <alignment readingOrder="0"/>
    </xf>
    <xf borderId="8" fillId="10" fontId="45" numFmtId="0" xfId="0" applyAlignment="1" applyBorder="1" applyFont="1">
      <alignment horizontal="left" shrinkToFit="0" vertical="center" wrapText="0"/>
    </xf>
    <xf borderId="7" fillId="10" fontId="45" numFmtId="169" xfId="0" applyAlignment="1" applyBorder="1" applyFont="1" applyNumberFormat="1">
      <alignment horizontal="right" shrinkToFit="0" vertical="center" wrapText="0"/>
    </xf>
    <xf borderId="8" fillId="10" fontId="45" numFmtId="4" xfId="0" applyAlignment="1" applyBorder="1" applyFont="1" applyNumberFormat="1">
      <alignment horizontal="right" shrinkToFit="0" vertical="center" wrapText="0"/>
    </xf>
    <xf borderId="61" fillId="15" fontId="5" numFmtId="0" xfId="0" applyAlignment="1" applyBorder="1" applyFont="1">
      <alignment horizontal="center" shrinkToFit="0" vertical="center" wrapText="1"/>
    </xf>
    <xf borderId="62" fillId="0" fontId="3" numFmtId="0" xfId="0" applyBorder="1" applyFont="1"/>
    <xf borderId="63" fillId="0" fontId="3" numFmtId="0" xfId="0" applyBorder="1" applyFont="1"/>
    <xf borderId="6" fillId="15" fontId="5" numFmtId="169" xfId="0" applyAlignment="1" applyBorder="1" applyFont="1" applyNumberFormat="1">
      <alignment horizontal="center" shrinkToFit="0" vertical="center" wrapText="1"/>
    </xf>
    <xf borderId="4" fillId="27" fontId="5" numFmtId="0" xfId="0" applyAlignment="1" applyBorder="1" applyFill="1" applyFont="1">
      <alignment horizontal="left" shrinkToFit="0" vertical="center" wrapText="0"/>
    </xf>
    <xf borderId="4" fillId="27" fontId="7" numFmtId="0" xfId="0" applyAlignment="1" applyBorder="1" applyFont="1">
      <alignment shrinkToFit="0" vertical="bottom" wrapText="0"/>
    </xf>
    <xf borderId="4" fillId="27" fontId="7" numFmtId="3" xfId="0" applyAlignment="1" applyBorder="1" applyFont="1" applyNumberFormat="1">
      <alignment shrinkToFit="0" vertical="bottom" wrapText="0"/>
    </xf>
    <xf borderId="4" fillId="27" fontId="50" numFmtId="0" xfId="0" applyAlignment="1" applyBorder="1" applyFont="1">
      <alignment shrinkToFit="0" vertical="bottom" wrapText="0"/>
    </xf>
    <xf borderId="7" fillId="27" fontId="7" numFmtId="0" xfId="0" applyAlignment="1" applyBorder="1" applyFont="1">
      <alignment shrinkToFit="0" vertical="bottom" wrapText="0"/>
    </xf>
    <xf borderId="7" fillId="25" fontId="75" numFmtId="0" xfId="0" applyAlignment="1" applyBorder="1" applyFont="1">
      <alignment horizontal="center" shrinkToFit="0" vertical="center" wrapText="0"/>
    </xf>
    <xf borderId="7" fillId="25" fontId="75" numFmtId="0" xfId="0" applyAlignment="1" applyBorder="1" applyFont="1">
      <alignment horizontal="left" shrinkToFit="0" vertical="center" wrapText="0"/>
    </xf>
    <xf borderId="7" fillId="25" fontId="76" numFmtId="0" xfId="0" applyAlignment="1" applyBorder="1" applyFont="1">
      <alignment horizontal="center" shrinkToFit="0" vertical="center" wrapText="0"/>
    </xf>
    <xf borderId="7" fillId="25" fontId="76" numFmtId="4" xfId="0" applyAlignment="1" applyBorder="1" applyFont="1" applyNumberFormat="1">
      <alignment horizontal="right" shrinkToFit="0" vertical="center" wrapText="0"/>
    </xf>
    <xf borderId="7" fillId="25" fontId="75" numFmtId="3" xfId="0" applyAlignment="1" applyBorder="1" applyFont="1" applyNumberFormat="1">
      <alignment horizontal="right" shrinkToFit="0" vertical="center" wrapText="0"/>
    </xf>
    <xf borderId="7" fillId="25" fontId="75" numFmtId="164" xfId="0" applyAlignment="1" applyBorder="1" applyFont="1" applyNumberFormat="1">
      <alignment horizontal="right" shrinkToFit="0" vertical="center" wrapText="0"/>
    </xf>
    <xf borderId="7" fillId="25" fontId="76" numFmtId="164" xfId="0" applyAlignment="1" applyBorder="1" applyFont="1" applyNumberFormat="1">
      <alignment horizontal="right" shrinkToFit="0" vertical="center" wrapText="0"/>
    </xf>
    <xf borderId="7" fillId="25" fontId="77" numFmtId="0" xfId="0" applyAlignment="1" applyBorder="1" applyFont="1">
      <alignment horizontal="center" shrinkToFit="0" vertical="center" wrapText="0"/>
    </xf>
    <xf borderId="7" fillId="25" fontId="39" numFmtId="164" xfId="0" applyAlignment="1" applyBorder="1" applyFont="1" applyNumberFormat="1">
      <alignment horizontal="center"/>
    </xf>
    <xf borderId="7" fillId="9" fontId="37" numFmtId="4" xfId="0" applyAlignment="1" applyBorder="1" applyFont="1" applyNumberFormat="1">
      <alignment horizontal="right" shrinkToFit="0" vertical="center" wrapText="0"/>
    </xf>
    <xf borderId="7" fillId="10" fontId="48" numFmtId="164" xfId="0" applyAlignment="1" applyBorder="1" applyFont="1" applyNumberFormat="1">
      <alignment horizontal="right" shrinkToFit="0" vertical="center" wrapText="0"/>
    </xf>
    <xf borderId="7" fillId="10" fontId="47" numFmtId="0" xfId="0" applyAlignment="1" applyBorder="1" applyFont="1">
      <alignment readingOrder="0" shrinkToFit="0" vertical="bottom" wrapText="0"/>
    </xf>
    <xf borderId="7" fillId="10" fontId="47" numFmtId="0" xfId="0" applyAlignment="1" applyBorder="1" applyFont="1">
      <alignment shrinkToFit="0" vertical="bottom" wrapText="0"/>
    </xf>
    <xf borderId="7" fillId="21" fontId="88" numFmtId="0" xfId="0" applyAlignment="1" applyBorder="1" applyFont="1">
      <alignment horizontal="left" shrinkToFit="0" vertical="center" wrapText="0"/>
    </xf>
    <xf borderId="7" fillId="21" fontId="88" numFmtId="4" xfId="0" applyAlignment="1" applyBorder="1" applyFont="1" applyNumberFormat="1">
      <alignment horizontal="right" shrinkToFit="0" vertical="center" wrapText="0"/>
    </xf>
    <xf borderId="7" fillId="23" fontId="45" numFmtId="0" xfId="0" applyAlignment="1" applyBorder="1" applyFont="1">
      <alignment horizontal="left" shrinkToFit="0" vertical="center" wrapText="0"/>
    </xf>
    <xf borderId="7" fillId="23" fontId="45" numFmtId="4" xfId="0" applyAlignment="1" applyBorder="1" applyFont="1" applyNumberFormat="1">
      <alignment horizontal="right" shrinkToFit="0" vertical="center" wrapText="0"/>
    </xf>
    <xf borderId="7" fillId="23" fontId="48" numFmtId="164" xfId="0" applyAlignment="1" applyBorder="1" applyFont="1" applyNumberFormat="1">
      <alignment horizontal="right" shrinkToFit="0" vertical="center" wrapText="0"/>
    </xf>
    <xf borderId="7" fillId="10" fontId="45" numFmtId="0" xfId="0" applyBorder="1" applyFont="1"/>
    <xf borderId="7" fillId="10" fontId="45" numFmtId="0" xfId="0" applyAlignment="1" applyBorder="1" applyFont="1">
      <alignment horizontal="center" readingOrder="0"/>
    </xf>
    <xf borderId="7" fillId="10" fontId="47" numFmtId="0" xfId="0" applyBorder="1" applyFont="1"/>
    <xf borderId="7" fillId="10" fontId="7" numFmtId="4" xfId="0" applyBorder="1" applyFont="1" applyNumberFormat="1"/>
    <xf borderId="7" fillId="0" fontId="92" numFmtId="164" xfId="0" applyAlignment="1" applyBorder="1" applyFont="1" applyNumberFormat="1">
      <alignment horizontal="center" vertical="bottom"/>
    </xf>
    <xf borderId="7" fillId="10" fontId="47" numFmtId="164" xfId="0" applyAlignment="1" applyBorder="1" applyFont="1" applyNumberFormat="1">
      <alignment horizontal="right"/>
    </xf>
    <xf borderId="7" fillId="9" fontId="39" numFmtId="4" xfId="0" applyAlignment="1" applyBorder="1" applyFont="1" applyNumberFormat="1">
      <alignment horizontal="right" readingOrder="0" shrinkToFit="0" vertical="center" wrapText="0"/>
    </xf>
    <xf borderId="7" fillId="10" fontId="45" numFmtId="0" xfId="0" applyAlignment="1" applyBorder="1" applyFont="1">
      <alignment horizontal="center" vertical="bottom"/>
    </xf>
    <xf borderId="7" fillId="10" fontId="45" numFmtId="0" xfId="0" applyAlignment="1" applyBorder="1" applyFont="1">
      <alignment vertical="bottom"/>
    </xf>
    <xf borderId="7" fillId="10" fontId="45" numFmtId="0" xfId="0" applyAlignment="1" applyBorder="1" applyFont="1">
      <alignment horizontal="center" readingOrder="0" vertical="bottom"/>
    </xf>
    <xf borderId="7" fillId="10" fontId="47" numFmtId="0" xfId="0" applyAlignment="1" applyBorder="1" applyFont="1">
      <alignment vertical="bottom"/>
    </xf>
    <xf borderId="7" fillId="10" fontId="7" numFmtId="4" xfId="0" applyAlignment="1" applyBorder="1" applyFont="1" applyNumberFormat="1">
      <alignment vertical="bottom"/>
    </xf>
    <xf borderId="7" fillId="10" fontId="7" numFmtId="3" xfId="0" applyAlignment="1" applyBorder="1" applyFont="1" applyNumberFormat="1">
      <alignment readingOrder="0" vertical="bottom"/>
    </xf>
    <xf borderId="7" fillId="10" fontId="7" numFmtId="164" xfId="0" applyAlignment="1" applyBorder="1" applyFont="1" applyNumberFormat="1">
      <alignment horizontal="center" vertical="bottom"/>
    </xf>
    <xf borderId="7" fillId="10" fontId="7" numFmtId="164" xfId="0" applyAlignment="1" applyBorder="1" applyFont="1" applyNumberFormat="1">
      <alignment vertical="bottom"/>
    </xf>
    <xf borderId="7" fillId="10" fontId="7" numFmtId="0" xfId="0" applyAlignment="1" applyBorder="1" applyFont="1">
      <alignment vertical="bottom"/>
    </xf>
    <xf borderId="7" fillId="0" fontId="7" numFmtId="164" xfId="0" applyAlignment="1" applyBorder="1" applyFont="1" applyNumberFormat="1">
      <alignment vertical="bottom"/>
    </xf>
    <xf borderId="7" fillId="10" fontId="45" numFmtId="0" xfId="0" applyAlignment="1" applyBorder="1" applyFont="1">
      <alignment readingOrder="0" vertical="bottom"/>
    </xf>
    <xf borderId="7" fillId="10" fontId="7" numFmtId="0" xfId="0" applyAlignment="1" applyBorder="1" applyFont="1">
      <alignment horizontal="center" vertical="bottom"/>
    </xf>
    <xf borderId="7" fillId="10" fontId="45" numFmtId="0" xfId="0" applyAlignment="1" applyBorder="1" applyFont="1">
      <alignment vertical="bottom"/>
    </xf>
    <xf borderId="7" fillId="10" fontId="47" numFmtId="0" xfId="0" applyAlignment="1" applyBorder="1" applyFont="1">
      <alignment readingOrder="0" vertical="bottom"/>
    </xf>
    <xf borderId="7" fillId="10" fontId="7" numFmtId="3" xfId="0" applyAlignment="1" applyBorder="1" applyFont="1" applyNumberFormat="1">
      <alignment vertical="bottom"/>
    </xf>
    <xf borderId="7" fillId="0" fontId="7" numFmtId="0" xfId="0" applyAlignment="1" applyBorder="1" applyFont="1">
      <alignment readingOrder="0" vertical="bottom"/>
    </xf>
    <xf borderId="4" fillId="16" fontId="5" numFmtId="0" xfId="0" applyAlignment="1" applyBorder="1" applyFont="1">
      <alignment horizontal="center" readingOrder="0" shrinkToFit="0" vertical="center" wrapText="0"/>
    </xf>
    <xf borderId="4" fillId="16" fontId="33" numFmtId="0" xfId="0" applyAlignment="1" applyBorder="1" applyFont="1">
      <alignment shrinkToFit="0" vertical="bottom" wrapText="0"/>
    </xf>
    <xf borderId="4" fillId="16" fontId="33" numFmtId="3" xfId="0" applyAlignment="1" applyBorder="1" applyFont="1" applyNumberFormat="1">
      <alignment shrinkToFit="0" vertical="bottom" wrapText="0"/>
    </xf>
    <xf borderId="4" fillId="16" fontId="30" numFmtId="0" xfId="0" applyAlignment="1" applyBorder="1" applyFont="1">
      <alignment shrinkToFit="0" vertical="bottom" wrapText="0"/>
    </xf>
    <xf borderId="7" fillId="16" fontId="33" numFmtId="0" xfId="0" applyAlignment="1" applyBorder="1" applyFont="1">
      <alignment shrinkToFit="0" vertical="bottom" wrapText="0"/>
    </xf>
    <xf borderId="7" fillId="9" fontId="37" numFmtId="164" xfId="0" applyAlignment="1" applyBorder="1" applyFont="1" applyNumberFormat="1">
      <alignment horizontal="center" shrinkToFit="0" vertical="center" wrapText="0"/>
    </xf>
    <xf borderId="7" fillId="10" fontId="45" numFmtId="3" xfId="0" applyAlignment="1" applyBorder="1" applyFont="1" applyNumberFormat="1">
      <alignment horizontal="center" shrinkToFit="0" vertical="center" wrapText="0"/>
    </xf>
    <xf borderId="4" fillId="28" fontId="75" numFmtId="0" xfId="0" applyAlignment="1" applyBorder="1" applyFill="1" applyFont="1">
      <alignment horizontal="left" shrinkToFit="0" vertical="center" wrapText="0"/>
    </xf>
    <xf borderId="4" fillId="28" fontId="93" numFmtId="0" xfId="0" applyAlignment="1" applyBorder="1" applyFont="1">
      <alignment shrinkToFit="0" vertical="bottom" wrapText="0"/>
    </xf>
    <xf borderId="4" fillId="28" fontId="93" numFmtId="3" xfId="0" applyAlignment="1" applyBorder="1" applyFont="1" applyNumberFormat="1">
      <alignment shrinkToFit="0" vertical="bottom" wrapText="0"/>
    </xf>
    <xf borderId="4" fillId="28" fontId="77" numFmtId="0" xfId="0" applyAlignment="1" applyBorder="1" applyFont="1">
      <alignment shrinkToFit="0" vertical="bottom" wrapText="0"/>
    </xf>
    <xf borderId="7" fillId="28" fontId="93" numFmtId="0" xfId="0" applyAlignment="1" applyBorder="1" applyFont="1">
      <alignment shrinkToFit="0" vertical="bottom" wrapText="0"/>
    </xf>
    <xf borderId="7" fillId="29" fontId="75" numFmtId="0" xfId="0" applyAlignment="1" applyBorder="1" applyFill="1" applyFont="1">
      <alignment horizontal="center" shrinkToFit="0" vertical="center" wrapText="0"/>
    </xf>
    <xf borderId="7" fillId="29" fontId="75" numFmtId="0" xfId="0" applyAlignment="1" applyBorder="1" applyFont="1">
      <alignment horizontal="left" shrinkToFit="0" vertical="center" wrapText="0"/>
    </xf>
    <xf borderId="7" fillId="29" fontId="76" numFmtId="0" xfId="0" applyAlignment="1" applyBorder="1" applyFont="1">
      <alignment horizontal="center" shrinkToFit="0" vertical="center" wrapText="0"/>
    </xf>
    <xf borderId="7" fillId="29" fontId="76" numFmtId="4" xfId="0" applyAlignment="1" applyBorder="1" applyFont="1" applyNumberFormat="1">
      <alignment horizontal="right" shrinkToFit="0" vertical="center" wrapText="0"/>
    </xf>
    <xf borderId="7" fillId="29" fontId="75" numFmtId="3" xfId="0" applyAlignment="1" applyBorder="1" applyFont="1" applyNumberFormat="1">
      <alignment horizontal="right" shrinkToFit="0" vertical="center" wrapText="0"/>
    </xf>
    <xf borderId="7" fillId="29" fontId="75" numFmtId="164" xfId="0" applyAlignment="1" applyBorder="1" applyFont="1" applyNumberFormat="1">
      <alignment horizontal="right" shrinkToFit="0" vertical="center" wrapText="0"/>
    </xf>
    <xf borderId="7" fillId="29" fontId="76" numFmtId="164" xfId="0" applyAlignment="1" applyBorder="1" applyFont="1" applyNumberFormat="1">
      <alignment horizontal="right" shrinkToFit="0" vertical="center" wrapText="0"/>
    </xf>
    <xf borderId="7" fillId="29" fontId="77" numFmtId="0" xfId="0" applyAlignment="1" applyBorder="1" applyFont="1">
      <alignment horizontal="center" shrinkToFit="0" vertical="center" wrapText="0"/>
    </xf>
    <xf borderId="7" fillId="29" fontId="76" numFmtId="0" xfId="0" applyAlignment="1" applyBorder="1" applyFont="1">
      <alignment horizontal="left" shrinkToFit="0" vertical="center" wrapText="0"/>
    </xf>
    <xf borderId="4" fillId="3" fontId="5" numFmtId="0" xfId="0" applyAlignment="1" applyBorder="1" applyFont="1">
      <alignment horizontal="right" shrinkToFit="0" vertical="center" wrapText="0"/>
    </xf>
    <xf borderId="4" fillId="3" fontId="33" numFmtId="0" xfId="0" applyAlignment="1" applyBorder="1" applyFont="1">
      <alignment shrinkToFit="0" vertical="bottom" wrapText="0"/>
    </xf>
    <xf borderId="7" fillId="3" fontId="5" numFmtId="3" xfId="0" applyAlignment="1" applyBorder="1" applyFont="1" applyNumberFormat="1">
      <alignment horizontal="right" shrinkToFit="0" vertical="center" wrapText="0"/>
    </xf>
    <xf borderId="7" fillId="3" fontId="5" numFmtId="164" xfId="0" applyAlignment="1" applyBorder="1" applyFont="1" applyNumberFormat="1">
      <alignment horizontal="right" shrinkToFit="0" vertical="center" wrapText="0"/>
    </xf>
    <xf borderId="7" fillId="3" fontId="30" numFmtId="0" xfId="0" applyAlignment="1" applyBorder="1" applyFont="1">
      <alignment shrinkToFit="0" vertical="bottom" wrapText="0"/>
    </xf>
    <xf borderId="7" fillId="3" fontId="33" numFmtId="0" xfId="0" applyAlignment="1" applyBorder="1" applyFont="1">
      <alignment shrinkToFit="0" vertical="bottom" wrapText="0"/>
    </xf>
    <xf borderId="0" fillId="0" fontId="50" numFmtId="0" xfId="0" applyAlignment="1" applyFont="1">
      <alignment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50" numFmtId="0" xfId="0" applyFont="1"/>
    <xf borderId="0" fillId="0" fontId="22" numFmtId="3" xfId="0" applyFont="1" applyNumberFormat="1"/>
  </cellXfs>
  <cellStyles count="1">
    <cellStyle xfId="0" name="Normal" builtinId="0"/>
  </cellStyles>
  <dxfs count="10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>
        <b/>
        <color rgb="FFC0392B"/>
      </font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D1C4E9"/>
          <bgColor rgb="FFD1C4E9"/>
        </patternFill>
      </fill>
      <border/>
    </dxf>
    <dxf>
      <font/>
      <fill>
        <patternFill patternType="solid">
          <fgColor rgb="FFFFE0B2"/>
          <bgColor rgb="FFFFE0B2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>
        <b/>
        <color rgb="FF4E342E"/>
      </font>
      <fill>
        <patternFill patternType="solid">
          <fgColor rgb="FFFFD54F"/>
          <bgColor rgb="FFFFD54F"/>
        </patternFill>
      </fill>
      <border/>
    </dxf>
    <dxf>
      <font>
        <b/>
        <color rgb="FF1E7E34"/>
      </font>
      <fill>
        <patternFill patternType="solid">
          <fgColor rgb="FFC8E6C9"/>
          <bgColor rgb="FFC8E6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1200150</xdr:colOff>
      <xdr:row>50</xdr:row>
      <xdr:rowOff>304800</xdr:rowOff>
    </xdr:from>
    <xdr:ext cx="14592300" cy="2428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colas Augusto Vaccaro" id="{89fbce98-2c5d-4f9c-9710-d17fb4a4e8f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09T15:52:05.00" personId="{89fbce98-2c5d-4f9c-9710-d17fb4a4e8f0}" id="{88afc59b-6a5f-4ede-9a1a-28bd43acf6c8}" done="0">
    <x18tc:text xml:space="preserve">Verificar UF cada una</x18tc:text>
  </x18tc:threadedComment>
  <x18tc:threadedComment ref="A1" dT="2026-07-09T00:19:52.00" personId="{89fbce98-2c5d-4f9c-9710-d17fb4a4e8f0}" id="{58d38bcb-646f-4415-8870-446a96b57d1f}" done="0">
    <x18tc:text xml:space="preserve">Calcular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8" dT="2026-07-09T00:44:03.00" personId="{89fbce98-2c5d-4f9c-9710-d17fb4a4e8f0}" id="{a599697d-6369-41a2-b34d-1ec162f7358a}" done="0">
    <x18tc:text xml:space="preserve">https://www.mercadolibre.com.ar/hidrante-completo-c-enchufe-a-pvc-dn75mm-hierro-ductil/up/MLAU3741212223</x18tc:text>
    <x18tc:extLst>
      <ext uri="{F7C98A9C-CBB3-438F-8F68-D28B6AF4A901}">
        <xltc2:checksum/>
        <xltc2:hyperlink startIndex="0" length="104" url="https://www.mercadolibre.com.ar/hidrante-completo-c-enchufe-a-pvc-dn75mm-hierro-ductil/up/MLAU3741212223"/>
      </ext>
    </x18tc:extLst>
  </x18tc:threadedComment>
  <x18tc:threadedComment ref="F38" dT="2026-07-09T00:19:45.00" personId="{89fbce98-2c5d-4f9c-9710-d17fb4a4e8f0}" id="{5c0b72b5-0eb1-4b3c-8289-c3e58c1bd595}" done="1">
    <x18tc:text xml:space="preserve">Cotizar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7E34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0.86"/>
    <col customWidth="1" min="2" max="8" width="27.14"/>
  </cols>
  <sheetData>
    <row r="1" ht="57.0" customHeight="1">
      <c r="A1" s="1" t="s">
        <v>0</v>
      </c>
      <c r="B1" s="3"/>
      <c r="C1" s="3"/>
      <c r="D1" s="3"/>
      <c r="E1" s="3"/>
      <c r="F1" s="3"/>
      <c r="G1" s="3"/>
      <c r="H1" s="5"/>
    </row>
    <row r="2" ht="33.0" customHeight="1">
      <c r="A2" s="7" t="s">
        <v>4</v>
      </c>
      <c r="B2" s="3"/>
      <c r="C2" s="3"/>
      <c r="D2" s="3"/>
      <c r="E2" s="3"/>
      <c r="F2" s="3"/>
      <c r="G2" s="3"/>
      <c r="H2" s="5"/>
    </row>
    <row r="3">
      <c r="A3" s="8"/>
      <c r="B3" s="8"/>
      <c r="C3" s="8"/>
      <c r="D3" s="8"/>
      <c r="E3" s="8"/>
      <c r="F3" s="8"/>
      <c r="G3" s="8"/>
      <c r="H3" s="8"/>
    </row>
    <row r="4" ht="40.5" customHeight="1">
      <c r="A4" s="11" t="s">
        <v>7</v>
      </c>
      <c r="B4" s="3"/>
      <c r="C4" s="3"/>
      <c r="D4" s="3"/>
      <c r="E4" s="3"/>
      <c r="F4" s="3"/>
      <c r="G4" s="3"/>
      <c r="H4" s="5"/>
    </row>
    <row r="5" ht="30.0" customHeight="1">
      <c r="A5" s="13" t="s">
        <v>8</v>
      </c>
    </row>
    <row r="6" ht="30.0" customHeight="1">
      <c r="A6" s="13" t="s">
        <v>9</v>
      </c>
    </row>
    <row r="7" ht="30.0" customHeight="1">
      <c r="A7" s="13" t="s">
        <v>10</v>
      </c>
    </row>
    <row r="8" ht="30.0" customHeight="1">
      <c r="A8" s="13" t="s">
        <v>11</v>
      </c>
    </row>
    <row r="9" ht="27.75" customHeight="1">
      <c r="A9" s="8"/>
      <c r="B9" s="8"/>
      <c r="C9" s="8"/>
      <c r="D9" s="8"/>
      <c r="E9" s="8"/>
      <c r="F9" s="8"/>
      <c r="G9" s="8"/>
      <c r="H9" s="8"/>
    </row>
    <row r="10" ht="40.5" customHeight="1">
      <c r="A10" s="17" t="s">
        <v>13</v>
      </c>
      <c r="B10" s="3"/>
      <c r="C10" s="3"/>
      <c r="D10" s="3"/>
      <c r="E10" s="3"/>
      <c r="F10" s="3"/>
      <c r="G10" s="3"/>
      <c r="H10" s="5"/>
    </row>
    <row r="11" ht="30.0" customHeight="1">
      <c r="A11" s="13" t="s">
        <v>14</v>
      </c>
    </row>
    <row r="12" ht="30.0" customHeight="1">
      <c r="A12" s="13" t="s">
        <v>15</v>
      </c>
    </row>
    <row r="13" ht="12.75" customHeight="1">
      <c r="A13" s="19"/>
    </row>
    <row r="14" ht="30.0" customHeight="1">
      <c r="A14" s="13" t="s">
        <v>17</v>
      </c>
    </row>
    <row r="15" ht="30.0" customHeight="1">
      <c r="A15" s="21" t="s">
        <v>20</v>
      </c>
      <c r="B15" s="3"/>
      <c r="C15" s="3"/>
      <c r="D15" s="3"/>
      <c r="E15" s="3"/>
      <c r="F15" s="3"/>
      <c r="G15" s="3"/>
      <c r="H15" s="5"/>
    </row>
    <row r="16" ht="12.75" customHeight="1">
      <c r="A16" s="19"/>
    </row>
    <row r="17" ht="30.0" customHeight="1">
      <c r="A17" s="13" t="s">
        <v>28</v>
      </c>
    </row>
    <row r="18" ht="30.0" customHeight="1">
      <c r="A18" s="21" t="s">
        <v>32</v>
      </c>
      <c r="B18" s="3"/>
      <c r="C18" s="3"/>
      <c r="D18" s="3"/>
      <c r="E18" s="3"/>
      <c r="F18" s="3"/>
      <c r="G18" s="3"/>
      <c r="H18" s="5"/>
    </row>
    <row r="19" ht="12.75" customHeight="1">
      <c r="A19" s="19"/>
    </row>
    <row r="20" ht="30.0" customHeight="1">
      <c r="A20" s="13" t="s">
        <v>34</v>
      </c>
    </row>
    <row r="21" ht="27.75" customHeight="1">
      <c r="A21" s="8"/>
      <c r="B21" s="8"/>
      <c r="C21" s="8"/>
      <c r="D21" s="8"/>
      <c r="E21" s="8"/>
      <c r="F21" s="8"/>
      <c r="G21" s="8"/>
      <c r="H21" s="8"/>
    </row>
    <row r="22" ht="40.5" customHeight="1">
      <c r="A22" s="30" t="s">
        <v>37</v>
      </c>
      <c r="B22" s="3"/>
      <c r="C22" s="3"/>
      <c r="D22" s="3"/>
      <c r="E22" s="3"/>
      <c r="F22" s="3"/>
      <c r="G22" s="3"/>
      <c r="H22" s="5"/>
    </row>
    <row r="23" ht="30.0" customHeight="1">
      <c r="A23" s="13" t="s">
        <v>38</v>
      </c>
    </row>
    <row r="24" ht="30.0" customHeight="1">
      <c r="A24" s="13" t="s">
        <v>40</v>
      </c>
    </row>
    <row r="25" ht="30.0" customHeight="1">
      <c r="A25" s="13" t="s">
        <v>41</v>
      </c>
    </row>
    <row r="26" ht="30.0" customHeight="1">
      <c r="A26" s="13" t="s">
        <v>43</v>
      </c>
    </row>
    <row r="27" ht="27.75" customHeight="1">
      <c r="A27" s="8"/>
      <c r="B27" s="8"/>
      <c r="C27" s="8"/>
      <c r="D27" s="8"/>
      <c r="E27" s="8"/>
      <c r="F27" s="8"/>
      <c r="G27" s="8"/>
      <c r="H27" s="8"/>
    </row>
    <row r="28" ht="40.5" customHeight="1">
      <c r="A28" s="36" t="s">
        <v>45</v>
      </c>
      <c r="B28" s="3"/>
      <c r="C28" s="3"/>
      <c r="D28" s="3"/>
      <c r="E28" s="3"/>
      <c r="F28" s="3"/>
      <c r="G28" s="3"/>
      <c r="H28" s="5"/>
    </row>
    <row r="29" ht="30.0" customHeight="1">
      <c r="A29" s="13" t="s">
        <v>48</v>
      </c>
    </row>
    <row r="30" ht="30.0" customHeight="1">
      <c r="A30" s="13" t="s">
        <v>50</v>
      </c>
    </row>
    <row r="31" ht="30.0" customHeight="1">
      <c r="A31" s="13" t="s">
        <v>51</v>
      </c>
    </row>
    <row r="32" ht="30.0" customHeight="1">
      <c r="A32" s="13" t="s">
        <v>52</v>
      </c>
    </row>
    <row r="33" ht="30.0" customHeight="1">
      <c r="A33" s="13" t="s">
        <v>54</v>
      </c>
    </row>
    <row r="34" ht="27.75" customHeight="1">
      <c r="A34" s="8"/>
      <c r="B34" s="8"/>
      <c r="C34" s="8"/>
      <c r="D34" s="8"/>
      <c r="E34" s="8"/>
      <c r="F34" s="8"/>
      <c r="G34" s="8"/>
      <c r="H34" s="8"/>
    </row>
    <row r="35" ht="40.5" customHeight="1">
      <c r="A35" s="47" t="s">
        <v>56</v>
      </c>
      <c r="B35" s="3"/>
      <c r="C35" s="3"/>
      <c r="D35" s="3"/>
      <c r="E35" s="3"/>
      <c r="F35" s="3"/>
      <c r="G35" s="3"/>
      <c r="H35" s="5"/>
    </row>
    <row r="36" ht="30.0" customHeight="1">
      <c r="A36" s="13" t="s">
        <v>60</v>
      </c>
    </row>
    <row r="37" ht="30.0" customHeight="1">
      <c r="A37" s="13" t="s">
        <v>61</v>
      </c>
    </row>
    <row r="38" ht="30.0" customHeight="1">
      <c r="A38" s="13" t="s">
        <v>62</v>
      </c>
    </row>
    <row r="39" ht="15.75" customHeight="1">
      <c r="A39" s="8"/>
      <c r="B39" s="8"/>
      <c r="C39" s="8"/>
      <c r="D39" s="8"/>
      <c r="E39" s="8"/>
      <c r="F39" s="8"/>
      <c r="G39" s="8"/>
      <c r="H39" s="8"/>
    </row>
    <row r="40" ht="15.75" customHeight="1">
      <c r="A40" s="8"/>
      <c r="B40" s="8"/>
      <c r="C40" s="8"/>
      <c r="D40" s="8"/>
      <c r="E40" s="8"/>
      <c r="F40" s="8"/>
      <c r="G40" s="8"/>
      <c r="H40" s="8"/>
    </row>
    <row r="41" ht="15.75" customHeight="1">
      <c r="A41" s="8"/>
      <c r="B41" s="8"/>
      <c r="C41" s="8"/>
      <c r="D41" s="8"/>
      <c r="E41" s="8"/>
      <c r="F41" s="8"/>
      <c r="G41" s="8"/>
      <c r="H41" s="8"/>
    </row>
    <row r="42" ht="15.75" customHeight="1">
      <c r="A42" s="8"/>
      <c r="B42" s="8"/>
      <c r="C42" s="8"/>
      <c r="D42" s="8"/>
      <c r="E42" s="8"/>
      <c r="F42" s="8"/>
      <c r="G42" s="8"/>
      <c r="H42" s="8"/>
    </row>
    <row r="43" ht="15.75" customHeight="1">
      <c r="A43" s="8"/>
      <c r="B43" s="8"/>
      <c r="C43" s="8"/>
      <c r="D43" s="8"/>
      <c r="E43" s="8"/>
      <c r="F43" s="8"/>
      <c r="G43" s="8"/>
      <c r="H43" s="8"/>
    </row>
    <row r="44" ht="15.75" customHeight="1">
      <c r="A44" s="8"/>
      <c r="B44" s="8"/>
      <c r="C44" s="8"/>
      <c r="D44" s="8"/>
      <c r="E44" s="8"/>
      <c r="F44" s="8"/>
      <c r="G44" s="8"/>
      <c r="H44" s="8"/>
    </row>
    <row r="45" ht="15.75" customHeight="1">
      <c r="A45" s="8"/>
      <c r="B45" s="8"/>
      <c r="C45" s="8"/>
      <c r="D45" s="8"/>
      <c r="E45" s="8"/>
      <c r="F45" s="8"/>
      <c r="G45" s="8"/>
      <c r="H45" s="8"/>
    </row>
    <row r="46" ht="15.75" customHeight="1">
      <c r="A46" s="8"/>
      <c r="B46" s="8"/>
      <c r="C46" s="8"/>
      <c r="D46" s="8"/>
      <c r="E46" s="8"/>
      <c r="F46" s="8"/>
      <c r="G46" s="8"/>
      <c r="H46" s="8"/>
    </row>
    <row r="47" ht="15.75" customHeight="1">
      <c r="A47" s="8"/>
      <c r="B47" s="8"/>
      <c r="C47" s="8"/>
      <c r="D47" s="8"/>
      <c r="E47" s="8"/>
      <c r="F47" s="8"/>
      <c r="G47" s="8"/>
      <c r="H47" s="8"/>
    </row>
    <row r="48" ht="15.75" customHeight="1">
      <c r="A48" s="8"/>
      <c r="B48" s="8"/>
      <c r="C48" s="8"/>
      <c r="D48" s="8"/>
      <c r="E48" s="8"/>
      <c r="F48" s="8"/>
      <c r="G48" s="8"/>
      <c r="H48" s="8"/>
    </row>
    <row r="49" ht="15.75" customHeight="1">
      <c r="A49" s="8"/>
      <c r="B49" s="8"/>
      <c r="C49" s="8"/>
      <c r="D49" s="8"/>
      <c r="E49" s="8"/>
      <c r="F49" s="8"/>
      <c r="G49" s="8"/>
      <c r="H49" s="8"/>
    </row>
    <row r="50" ht="15.75" customHeight="1">
      <c r="A50" s="8"/>
      <c r="B50" s="8"/>
      <c r="C50" s="8"/>
      <c r="D50" s="8"/>
      <c r="E50" s="8"/>
      <c r="F50" s="8"/>
      <c r="G50" s="8"/>
      <c r="H50" s="8"/>
    </row>
    <row r="51" ht="15.75" customHeight="1">
      <c r="A51" s="8"/>
      <c r="B51" s="8"/>
      <c r="C51" s="8"/>
      <c r="D51" s="8"/>
      <c r="E51" s="8"/>
      <c r="F51" s="8"/>
      <c r="G51" s="8"/>
      <c r="H51" s="8"/>
    </row>
    <row r="52" ht="15.75" customHeight="1">
      <c r="A52" s="8"/>
      <c r="B52" s="8"/>
      <c r="C52" s="8"/>
      <c r="D52" s="8"/>
      <c r="E52" s="8"/>
      <c r="F52" s="8"/>
      <c r="G52" s="8"/>
      <c r="H52" s="8"/>
    </row>
    <row r="53" ht="15.75" customHeight="1">
      <c r="A53" s="8"/>
      <c r="B53" s="8"/>
      <c r="C53" s="8"/>
      <c r="D53" s="8"/>
      <c r="E53" s="8"/>
      <c r="F53" s="8"/>
      <c r="G53" s="8"/>
      <c r="H53" s="8"/>
    </row>
    <row r="54" ht="15.75" customHeight="1">
      <c r="A54" s="8"/>
      <c r="B54" s="8"/>
      <c r="C54" s="8"/>
      <c r="D54" s="8"/>
      <c r="E54" s="8"/>
      <c r="F54" s="8"/>
      <c r="G54" s="8"/>
      <c r="H54" s="8"/>
    </row>
    <row r="55" ht="15.75" customHeight="1">
      <c r="A55" s="8"/>
      <c r="B55" s="8"/>
      <c r="C55" s="8"/>
      <c r="D55" s="8"/>
      <c r="E55" s="8"/>
      <c r="F55" s="8"/>
      <c r="G55" s="8"/>
      <c r="H55" s="8"/>
    </row>
    <row r="56" ht="15.75" customHeight="1">
      <c r="A56" s="8"/>
      <c r="B56" s="8"/>
      <c r="C56" s="8"/>
      <c r="D56" s="8"/>
      <c r="E56" s="8"/>
      <c r="F56" s="8"/>
      <c r="G56" s="8"/>
      <c r="H56" s="8"/>
    </row>
    <row r="57" ht="15.75" customHeight="1">
      <c r="A57" s="8"/>
      <c r="B57" s="8"/>
      <c r="C57" s="8"/>
      <c r="D57" s="8"/>
      <c r="E57" s="8"/>
      <c r="F57" s="8"/>
      <c r="G57" s="8"/>
      <c r="H57" s="8"/>
    </row>
    <row r="58" ht="15.75" customHeight="1">
      <c r="A58" s="8"/>
      <c r="B58" s="8"/>
      <c r="C58" s="8"/>
      <c r="D58" s="8"/>
      <c r="E58" s="8"/>
      <c r="F58" s="8"/>
      <c r="G58" s="8"/>
      <c r="H58" s="8"/>
    </row>
    <row r="59" ht="15.75" customHeight="1">
      <c r="A59" s="8"/>
      <c r="B59" s="8"/>
      <c r="C59" s="8"/>
      <c r="D59" s="8"/>
      <c r="E59" s="8"/>
      <c r="F59" s="8"/>
      <c r="G59" s="8"/>
      <c r="H59" s="8"/>
    </row>
    <row r="60" ht="15.75" customHeight="1">
      <c r="A60" s="8"/>
      <c r="B60" s="8"/>
      <c r="C60" s="8"/>
      <c r="D60" s="8"/>
      <c r="E60" s="8"/>
      <c r="F60" s="8"/>
      <c r="G60" s="8"/>
      <c r="H60" s="8"/>
    </row>
    <row r="61" ht="15.75" customHeight="1">
      <c r="A61" s="8"/>
      <c r="B61" s="8"/>
      <c r="C61" s="8"/>
      <c r="D61" s="8"/>
      <c r="E61" s="8"/>
      <c r="F61" s="8"/>
      <c r="G61" s="8"/>
      <c r="H61" s="8"/>
    </row>
    <row r="62" ht="15.75" customHeight="1">
      <c r="A62" s="8"/>
      <c r="B62" s="8"/>
      <c r="C62" s="8"/>
      <c r="D62" s="8"/>
      <c r="E62" s="8"/>
      <c r="F62" s="8"/>
      <c r="G62" s="8"/>
      <c r="H62" s="8"/>
    </row>
    <row r="63" ht="15.75" customHeight="1">
      <c r="A63" s="8"/>
      <c r="B63" s="8"/>
      <c r="C63" s="8"/>
      <c r="D63" s="8"/>
      <c r="E63" s="8"/>
      <c r="F63" s="8"/>
      <c r="G63" s="8"/>
      <c r="H63" s="8"/>
    </row>
    <row r="64" ht="15.75" customHeight="1">
      <c r="A64" s="8"/>
      <c r="B64" s="8"/>
      <c r="C64" s="8"/>
      <c r="D64" s="8"/>
      <c r="E64" s="8"/>
      <c r="F64" s="8"/>
      <c r="G64" s="8"/>
      <c r="H64" s="8"/>
    </row>
    <row r="65" ht="15.75" customHeight="1">
      <c r="A65" s="8"/>
      <c r="B65" s="8"/>
      <c r="C65" s="8"/>
      <c r="D65" s="8"/>
      <c r="E65" s="8"/>
      <c r="F65" s="8"/>
      <c r="G65" s="8"/>
      <c r="H65" s="8"/>
    </row>
    <row r="66" ht="15.75" customHeight="1">
      <c r="A66" s="8"/>
      <c r="B66" s="8"/>
      <c r="C66" s="8"/>
      <c r="D66" s="8"/>
      <c r="E66" s="8"/>
      <c r="F66" s="8"/>
      <c r="G66" s="8"/>
      <c r="H66" s="8"/>
    </row>
    <row r="67" ht="15.75" customHeight="1">
      <c r="A67" s="8"/>
      <c r="B67" s="8"/>
      <c r="C67" s="8"/>
      <c r="D67" s="8"/>
      <c r="E67" s="8"/>
      <c r="F67" s="8"/>
      <c r="G67" s="8"/>
      <c r="H67" s="8"/>
    </row>
    <row r="68" ht="15.75" customHeight="1">
      <c r="A68" s="8"/>
      <c r="B68" s="8"/>
      <c r="C68" s="8"/>
      <c r="D68" s="8"/>
      <c r="E68" s="8"/>
      <c r="F68" s="8"/>
      <c r="G68" s="8"/>
      <c r="H68" s="8"/>
    </row>
    <row r="69" ht="15.75" customHeight="1">
      <c r="A69" s="8"/>
      <c r="B69" s="8"/>
      <c r="C69" s="8"/>
      <c r="D69" s="8"/>
      <c r="E69" s="8"/>
      <c r="F69" s="8"/>
      <c r="G69" s="8"/>
      <c r="H69" s="8"/>
    </row>
    <row r="70" ht="15.75" customHeight="1">
      <c r="A70" s="8"/>
      <c r="B70" s="8"/>
      <c r="C70" s="8"/>
      <c r="D70" s="8"/>
      <c r="E70" s="8"/>
      <c r="F70" s="8"/>
      <c r="G70" s="8"/>
      <c r="H70" s="8"/>
    </row>
    <row r="71" ht="15.75" customHeight="1">
      <c r="A71" s="8"/>
      <c r="B71" s="8"/>
      <c r="C71" s="8"/>
      <c r="D71" s="8"/>
      <c r="E71" s="8"/>
      <c r="F71" s="8"/>
      <c r="G71" s="8"/>
      <c r="H71" s="8"/>
    </row>
    <row r="72" ht="15.75" customHeight="1">
      <c r="A72" s="8"/>
      <c r="B72" s="8"/>
      <c r="C72" s="8"/>
      <c r="D72" s="8"/>
      <c r="E72" s="8"/>
      <c r="F72" s="8"/>
      <c r="G72" s="8"/>
      <c r="H72" s="8"/>
    </row>
    <row r="73" ht="15.75" customHeight="1">
      <c r="A73" s="8"/>
      <c r="B73" s="8"/>
      <c r="C73" s="8"/>
      <c r="D73" s="8"/>
      <c r="E73" s="8"/>
      <c r="F73" s="8"/>
      <c r="G73" s="8"/>
      <c r="H73" s="8"/>
    </row>
    <row r="74" ht="15.75" customHeight="1">
      <c r="A74" s="8"/>
      <c r="B74" s="8"/>
      <c r="C74" s="8"/>
      <c r="D74" s="8"/>
      <c r="E74" s="8"/>
      <c r="F74" s="8"/>
      <c r="G74" s="8"/>
      <c r="H74" s="8"/>
    </row>
    <row r="75" ht="15.75" customHeight="1">
      <c r="A75" s="8"/>
      <c r="B75" s="8"/>
      <c r="C75" s="8"/>
      <c r="D75" s="8"/>
      <c r="E75" s="8"/>
      <c r="F75" s="8"/>
      <c r="G75" s="8"/>
      <c r="H75" s="8"/>
    </row>
    <row r="76" ht="15.75" customHeight="1">
      <c r="A76" s="8"/>
      <c r="B76" s="8"/>
      <c r="C76" s="8"/>
      <c r="D76" s="8"/>
      <c r="E76" s="8"/>
      <c r="F76" s="8"/>
      <c r="G76" s="8"/>
      <c r="H76" s="8"/>
    </row>
    <row r="77" ht="15.75" customHeight="1">
      <c r="A77" s="8"/>
      <c r="B77" s="8"/>
      <c r="C77" s="8"/>
      <c r="D77" s="8"/>
      <c r="E77" s="8"/>
      <c r="F77" s="8"/>
      <c r="G77" s="8"/>
      <c r="H77" s="8"/>
    </row>
    <row r="78" ht="15.75" customHeight="1">
      <c r="A78" s="8"/>
      <c r="B78" s="8"/>
      <c r="C78" s="8"/>
      <c r="D78" s="8"/>
      <c r="E78" s="8"/>
      <c r="F78" s="8"/>
      <c r="G78" s="8"/>
      <c r="H78" s="8"/>
    </row>
    <row r="79" ht="15.75" customHeight="1">
      <c r="A79" s="8"/>
      <c r="B79" s="8"/>
      <c r="C79" s="8"/>
      <c r="D79" s="8"/>
      <c r="E79" s="8"/>
      <c r="F79" s="8"/>
      <c r="G79" s="8"/>
      <c r="H79" s="8"/>
    </row>
    <row r="80" ht="15.75" customHeight="1">
      <c r="A80" s="8"/>
      <c r="B80" s="8"/>
      <c r="C80" s="8"/>
      <c r="D80" s="8"/>
      <c r="E80" s="8"/>
      <c r="F80" s="8"/>
      <c r="G80" s="8"/>
      <c r="H80" s="8"/>
    </row>
    <row r="81" ht="15.75" customHeight="1">
      <c r="A81" s="8"/>
      <c r="B81" s="8"/>
      <c r="C81" s="8"/>
      <c r="D81" s="8"/>
      <c r="E81" s="8"/>
      <c r="F81" s="8"/>
      <c r="G81" s="8"/>
      <c r="H81" s="8"/>
    </row>
    <row r="82" ht="15.75" customHeight="1">
      <c r="A82" s="8"/>
      <c r="B82" s="8"/>
      <c r="C82" s="8"/>
      <c r="D82" s="8"/>
      <c r="E82" s="8"/>
      <c r="F82" s="8"/>
      <c r="G82" s="8"/>
      <c r="H82" s="8"/>
    </row>
    <row r="83" ht="15.75" customHeight="1">
      <c r="A83" s="8"/>
      <c r="B83" s="8"/>
      <c r="C83" s="8"/>
      <c r="D83" s="8"/>
      <c r="E83" s="8"/>
      <c r="F83" s="8"/>
      <c r="G83" s="8"/>
      <c r="H83" s="8"/>
    </row>
    <row r="84" ht="15.75" customHeight="1">
      <c r="A84" s="8"/>
      <c r="B84" s="8"/>
      <c r="C84" s="8"/>
      <c r="D84" s="8"/>
      <c r="E84" s="8"/>
      <c r="F84" s="8"/>
      <c r="G84" s="8"/>
      <c r="H84" s="8"/>
    </row>
    <row r="85" ht="15.75" customHeight="1">
      <c r="A85" s="8"/>
      <c r="B85" s="8"/>
      <c r="C85" s="8"/>
      <c r="D85" s="8"/>
      <c r="E85" s="8"/>
      <c r="F85" s="8"/>
      <c r="G85" s="8"/>
      <c r="H85" s="8"/>
    </row>
    <row r="86" ht="15.75" customHeight="1">
      <c r="A86" s="8"/>
      <c r="B86" s="8"/>
      <c r="C86" s="8"/>
      <c r="D86" s="8"/>
      <c r="E86" s="8"/>
      <c r="F86" s="8"/>
      <c r="G86" s="8"/>
      <c r="H86" s="8"/>
    </row>
    <row r="87" ht="15.75" customHeight="1">
      <c r="A87" s="8"/>
      <c r="B87" s="8"/>
      <c r="C87" s="8"/>
      <c r="D87" s="8"/>
      <c r="E87" s="8"/>
      <c r="F87" s="8"/>
      <c r="G87" s="8"/>
      <c r="H87" s="8"/>
    </row>
    <row r="88" ht="15.75" customHeight="1">
      <c r="A88" s="8"/>
      <c r="B88" s="8"/>
      <c r="C88" s="8"/>
      <c r="D88" s="8"/>
      <c r="E88" s="8"/>
      <c r="F88" s="8"/>
      <c r="G88" s="8"/>
      <c r="H88" s="8"/>
    </row>
    <row r="89" ht="15.75" customHeight="1">
      <c r="A89" s="8"/>
      <c r="B89" s="8"/>
      <c r="C89" s="8"/>
      <c r="D89" s="8"/>
      <c r="E89" s="8"/>
      <c r="F89" s="8"/>
      <c r="G89" s="8"/>
      <c r="H89" s="8"/>
    </row>
    <row r="90" ht="15.75" customHeight="1">
      <c r="A90" s="8"/>
      <c r="B90" s="8"/>
      <c r="C90" s="8"/>
      <c r="D90" s="8"/>
      <c r="E90" s="8"/>
      <c r="F90" s="8"/>
      <c r="G90" s="8"/>
      <c r="H90" s="8"/>
    </row>
    <row r="91" ht="15.75" customHeight="1">
      <c r="A91" s="8"/>
      <c r="B91" s="8"/>
      <c r="C91" s="8"/>
      <c r="D91" s="8"/>
      <c r="E91" s="8"/>
      <c r="F91" s="8"/>
      <c r="G91" s="8"/>
      <c r="H91" s="8"/>
    </row>
    <row r="92" ht="15.75" customHeight="1">
      <c r="A92" s="8"/>
      <c r="B92" s="8"/>
      <c r="C92" s="8"/>
      <c r="D92" s="8"/>
      <c r="E92" s="8"/>
      <c r="F92" s="8"/>
      <c r="G92" s="8"/>
      <c r="H92" s="8"/>
    </row>
    <row r="93" ht="15.75" customHeight="1">
      <c r="A93" s="8"/>
      <c r="B93" s="8"/>
      <c r="C93" s="8"/>
      <c r="D93" s="8"/>
      <c r="E93" s="8"/>
      <c r="F93" s="8"/>
      <c r="G93" s="8"/>
      <c r="H93" s="8"/>
    </row>
    <row r="94" ht="15.75" customHeight="1">
      <c r="A94" s="8"/>
      <c r="B94" s="8"/>
      <c r="C94" s="8"/>
      <c r="D94" s="8"/>
      <c r="E94" s="8"/>
      <c r="F94" s="8"/>
      <c r="G94" s="8"/>
      <c r="H94" s="8"/>
    </row>
    <row r="95" ht="15.75" customHeight="1">
      <c r="A95" s="8"/>
      <c r="B95" s="8"/>
      <c r="C95" s="8"/>
      <c r="D95" s="8"/>
      <c r="E95" s="8"/>
      <c r="F95" s="8"/>
      <c r="G95" s="8"/>
      <c r="H95" s="8"/>
    </row>
    <row r="96" ht="15.75" customHeight="1">
      <c r="A96" s="8"/>
      <c r="B96" s="8"/>
      <c r="C96" s="8"/>
      <c r="D96" s="8"/>
      <c r="E96" s="8"/>
      <c r="F96" s="8"/>
      <c r="G96" s="8"/>
      <c r="H96" s="8"/>
    </row>
    <row r="97" ht="15.75" customHeight="1">
      <c r="A97" s="8"/>
      <c r="B97" s="8"/>
      <c r="C97" s="8"/>
      <c r="D97" s="8"/>
      <c r="E97" s="8"/>
      <c r="F97" s="8"/>
      <c r="G97" s="8"/>
      <c r="H97" s="8"/>
    </row>
    <row r="98" ht="15.75" customHeight="1">
      <c r="A98" s="8"/>
      <c r="B98" s="8"/>
      <c r="C98" s="8"/>
      <c r="D98" s="8"/>
      <c r="E98" s="8"/>
      <c r="F98" s="8"/>
      <c r="G98" s="8"/>
      <c r="H98" s="8"/>
    </row>
    <row r="99" ht="15.75" customHeight="1">
      <c r="A99" s="8"/>
      <c r="B99" s="8"/>
      <c r="C99" s="8"/>
      <c r="D99" s="8"/>
      <c r="E99" s="8"/>
      <c r="F99" s="8"/>
      <c r="G99" s="8"/>
      <c r="H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H1"/>
    <mergeCell ref="A2:H2"/>
    <mergeCell ref="A4:H4"/>
    <mergeCell ref="A5:H5"/>
    <mergeCell ref="A6:H6"/>
    <mergeCell ref="A7:H7"/>
    <mergeCell ref="A8:H8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2:H22"/>
    <mergeCell ref="A23:H23"/>
    <mergeCell ref="A24:H24"/>
    <mergeCell ref="A33:H33"/>
    <mergeCell ref="A35:H35"/>
    <mergeCell ref="A36:H36"/>
    <mergeCell ref="A37:H37"/>
    <mergeCell ref="A38:H38"/>
    <mergeCell ref="A25:H25"/>
    <mergeCell ref="A26:H26"/>
    <mergeCell ref="A28:H28"/>
    <mergeCell ref="A29:H29"/>
    <mergeCell ref="A30:H30"/>
    <mergeCell ref="A31:H31"/>
    <mergeCell ref="A32:H32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6B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5" width="20.43"/>
    <col customWidth="1" min="6" max="6" width="33.43"/>
    <col customWidth="1" min="7" max="12" width="20.43"/>
    <col customWidth="1" min="13" max="15" width="8.71"/>
    <col customWidth="1" min="16" max="16" width="30.57"/>
    <col customWidth="1" min="17" max="19" width="20.43"/>
    <col customWidth="1" min="20" max="21" width="8.71"/>
  </cols>
  <sheetData>
    <row r="1" ht="63.75" customHeight="1">
      <c r="A1" s="4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P1" s="8"/>
      <c r="Q1" s="8"/>
      <c r="R1" s="8"/>
      <c r="S1" s="8"/>
    </row>
    <row r="2" ht="33.0" customHeight="1">
      <c r="A2" s="9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5"/>
      <c r="P2" s="8"/>
      <c r="Q2" s="8"/>
      <c r="R2" s="8"/>
      <c r="S2" s="8"/>
    </row>
    <row r="3" ht="33.0" customHeight="1">
      <c r="A3" s="14" t="str">
        <f>HYPERLINK("#'Resumen'!A1","📊 Resumen")</f>
        <v>📊 Resumen</v>
      </c>
      <c r="B3" s="5"/>
      <c r="C3" s="14" t="str">
        <f>HYPERLINK("#'MaestroLotes'!A1","🏘 Lotes")</f>
        <v>🏘 Lotes</v>
      </c>
      <c r="D3" s="5"/>
      <c r="E3" s="14" t="str">
        <f>HYPERLINK("#'Clientes'!A1","👥 Clientes")</f>
        <v>👥 Clientes</v>
      </c>
      <c r="F3" s="5"/>
      <c r="G3" s="14" t="str">
        <f>HYPERLINK("#'DetalleCostos'!A1","🧾 Costos")</f>
        <v>🧾 Costos</v>
      </c>
      <c r="H3" s="5"/>
      <c r="I3" s="14" t="str">
        <f>HYPERLINK("#'FlujoCaja'!A1","💰 Flujo")</f>
        <v>💰 Flujo</v>
      </c>
      <c r="J3" s="5"/>
      <c r="K3" s="22"/>
      <c r="L3" s="8"/>
      <c r="P3" s="8"/>
      <c r="Q3" s="8"/>
      <c r="R3" s="8"/>
      <c r="S3" s="8"/>
      <c r="U3" s="25"/>
    </row>
    <row r="4" ht="48.0" customHeight="1">
      <c r="A4" s="26"/>
      <c r="B4" s="26"/>
      <c r="C4" s="26"/>
      <c r="D4" s="26"/>
      <c r="E4" s="28"/>
      <c r="F4" s="28"/>
      <c r="G4" s="28"/>
      <c r="H4" s="28"/>
      <c r="I4" s="28"/>
      <c r="J4" s="28"/>
      <c r="K4" s="28"/>
      <c r="L4" s="28"/>
      <c r="M4" s="29"/>
      <c r="N4" s="29"/>
      <c r="O4" s="29"/>
      <c r="P4" s="28"/>
      <c r="Q4" s="28"/>
      <c r="R4" s="28"/>
      <c r="S4" s="28"/>
      <c r="T4" s="29"/>
      <c r="U4" s="29"/>
      <c r="V4" s="29"/>
      <c r="W4" s="29"/>
      <c r="X4" s="29"/>
      <c r="Y4" s="29"/>
      <c r="Z4" s="29"/>
    </row>
    <row r="5" ht="36.75" customHeight="1">
      <c r="A5" s="34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5"/>
      <c r="P5" s="37" t="s">
        <v>46</v>
      </c>
      <c r="Q5" s="3"/>
      <c r="R5" s="3"/>
      <c r="S5" s="5"/>
    </row>
    <row r="6" ht="30.0" customHeight="1">
      <c r="A6" s="38" t="s">
        <v>47</v>
      </c>
      <c r="B6" s="40" t="s">
        <v>49</v>
      </c>
      <c r="C6" s="41"/>
      <c r="D6" s="41"/>
      <c r="E6" s="42"/>
      <c r="F6" s="38" t="s">
        <v>53</v>
      </c>
      <c r="G6" s="43">
        <v>1515.0</v>
      </c>
      <c r="H6" s="41"/>
      <c r="I6" s="42"/>
      <c r="J6" s="8"/>
      <c r="K6" s="8"/>
      <c r="L6" s="8"/>
      <c r="P6" s="45" t="s">
        <v>55</v>
      </c>
      <c r="Q6" s="41"/>
      <c r="R6" s="41"/>
      <c r="S6" s="46"/>
    </row>
    <row r="7" ht="30.0" customHeight="1">
      <c r="A7" s="38" t="s">
        <v>59</v>
      </c>
      <c r="B7" s="50"/>
      <c r="C7" s="41"/>
      <c r="D7" s="41"/>
      <c r="E7" s="42"/>
      <c r="F7" s="38" t="s">
        <v>65</v>
      </c>
      <c r="G7" s="50"/>
      <c r="H7" s="41"/>
      <c r="I7" s="42"/>
      <c r="J7" s="8"/>
      <c r="K7" s="8"/>
      <c r="L7" s="8"/>
      <c r="P7" s="53" t="s">
        <v>20</v>
      </c>
      <c r="Q7" s="41"/>
      <c r="R7" s="41"/>
      <c r="S7" s="46"/>
    </row>
    <row r="8" ht="30.0" customHeight="1">
      <c r="A8" s="38" t="s">
        <v>70</v>
      </c>
      <c r="B8" s="50" t="s">
        <v>72</v>
      </c>
      <c r="C8" s="41"/>
      <c r="D8" s="41"/>
      <c r="E8" s="42"/>
      <c r="F8" s="38" t="s">
        <v>74</v>
      </c>
      <c r="G8" s="55" t="s">
        <v>76</v>
      </c>
      <c r="H8" s="41"/>
      <c r="I8" s="42"/>
      <c r="J8" s="8"/>
      <c r="K8" s="8"/>
      <c r="L8" s="8"/>
      <c r="P8" s="45" t="s">
        <v>79</v>
      </c>
      <c r="Q8" s="41"/>
      <c r="R8" s="41"/>
      <c r="S8" s="46"/>
    </row>
    <row r="9" ht="30.0" customHeight="1">
      <c r="A9" s="38" t="s">
        <v>81</v>
      </c>
      <c r="B9" s="50" t="s">
        <v>83</v>
      </c>
      <c r="C9" s="41"/>
      <c r="D9" s="41"/>
      <c r="E9" s="42"/>
      <c r="F9" s="38" t="s">
        <v>85</v>
      </c>
      <c r="G9" s="58" t="s">
        <v>87</v>
      </c>
      <c r="H9" s="41"/>
      <c r="I9" s="42"/>
      <c r="J9" s="8"/>
      <c r="K9" s="8"/>
      <c r="L9" s="8"/>
      <c r="P9" s="8"/>
      <c r="Q9" s="8"/>
      <c r="R9" s="8"/>
      <c r="S9" s="8"/>
    </row>
    <row r="10" ht="48.0" customHeight="1">
      <c r="A10" s="26"/>
      <c r="B10" s="26"/>
      <c r="C10" s="26"/>
      <c r="D10" s="26"/>
      <c r="E10" s="28"/>
      <c r="F10" s="28"/>
      <c r="G10" s="28"/>
      <c r="H10" s="28"/>
      <c r="I10" s="28"/>
      <c r="J10" s="28"/>
      <c r="K10" s="28"/>
      <c r="L10" s="28"/>
      <c r="M10" s="29"/>
      <c r="N10" s="29"/>
      <c r="O10" s="29"/>
      <c r="P10" s="28"/>
      <c r="Q10" s="28"/>
      <c r="R10" s="28"/>
      <c r="S10" s="28"/>
      <c r="T10" s="29"/>
      <c r="U10" s="29"/>
      <c r="V10" s="29"/>
      <c r="W10" s="29"/>
      <c r="X10" s="29"/>
      <c r="Y10" s="29"/>
      <c r="Z10" s="29"/>
    </row>
    <row r="11" ht="36.75" customHeight="1">
      <c r="A11" s="69" t="s">
        <v>94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5"/>
      <c r="P11" s="72" t="s">
        <v>96</v>
      </c>
      <c r="Q11" s="74"/>
      <c r="R11" s="75"/>
      <c r="S11" s="77">
        <v>0.5</v>
      </c>
    </row>
    <row r="12" ht="37.5" customHeight="1">
      <c r="A12" s="78" t="s">
        <v>97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5"/>
      <c r="P12" s="80" t="s">
        <v>98</v>
      </c>
      <c r="Q12" s="41"/>
      <c r="R12" s="46"/>
      <c r="S12" s="81">
        <v>12.0</v>
      </c>
    </row>
    <row r="13" ht="27.75" customHeight="1">
      <c r="A13" s="83" t="s">
        <v>100</v>
      </c>
      <c r="B13" s="84"/>
      <c r="C13" s="84"/>
      <c r="D13" s="85"/>
      <c r="E13" s="87" t="s">
        <v>101</v>
      </c>
      <c r="F13" s="84"/>
      <c r="G13" s="84"/>
      <c r="H13" s="85"/>
      <c r="I13" s="89" t="s">
        <v>102</v>
      </c>
      <c r="J13" s="84"/>
      <c r="K13" s="84"/>
      <c r="L13" s="85"/>
      <c r="P13" s="80" t="s">
        <v>103</v>
      </c>
      <c r="Q13" s="41"/>
      <c r="R13" s="46"/>
      <c r="S13" s="93">
        <v>0.03</v>
      </c>
    </row>
    <row r="14" ht="51.75" customHeight="1">
      <c r="A14" s="97">
        <f>SUMPRODUCT(--ISNUMBER(MaestroLotes!E6:E145))-SUMPRODUCT(--ISNUMBER(MaestroLotes!E6:E145)*ISNUMBER(SEARCH("Dominio público",MaestroLotes!J6:J145&amp;"")))</f>
        <v>43</v>
      </c>
      <c r="B14" s="100"/>
      <c r="C14" s="100"/>
      <c r="D14" s="102"/>
      <c r="E14" s="106">
        <f>SUMPRODUCT(--ISNUMBER(MaestroLotes!E6:E145)*(MaestroLotes!I6:I145="Disponible"))</f>
        <v>28</v>
      </c>
      <c r="F14" s="107"/>
      <c r="G14" s="107"/>
      <c r="H14" s="108"/>
      <c r="I14" s="109">
        <f>SUMPRODUCT((MaestroLotes!I6:I145="VendidoP.C")*((MaestroLotes!N6:N145="Madre")+(MaestroLotes!N6:N145="Completa")))</f>
        <v>0</v>
      </c>
      <c r="J14" s="111"/>
      <c r="K14" s="111"/>
      <c r="L14" s="113"/>
      <c r="P14" s="8"/>
      <c r="Q14" s="8"/>
      <c r="R14" s="8"/>
      <c r="S14" s="8"/>
    </row>
    <row r="15" ht="15.0" customHeight="1">
      <c r="A15" s="116" t="s">
        <v>112</v>
      </c>
      <c r="B15" s="8"/>
      <c r="C15" s="8"/>
      <c r="D15" s="8"/>
      <c r="E15" s="116" t="s">
        <v>114</v>
      </c>
      <c r="F15" s="8"/>
      <c r="G15" s="8"/>
      <c r="H15" s="8"/>
      <c r="I15" s="116" t="s">
        <v>115</v>
      </c>
      <c r="J15" s="8"/>
      <c r="K15" s="8"/>
      <c r="L15" s="8"/>
      <c r="P15" s="8"/>
      <c r="Q15" s="8"/>
      <c r="R15" s="8"/>
      <c r="S15" s="8"/>
    </row>
    <row r="16" ht="27.75" customHeight="1">
      <c r="A16" s="117" t="s">
        <v>116</v>
      </c>
      <c r="B16" s="84"/>
      <c r="C16" s="84"/>
      <c r="D16" s="85"/>
      <c r="E16" s="118" t="s">
        <v>118</v>
      </c>
      <c r="F16" s="84"/>
      <c r="G16" s="84"/>
      <c r="H16" s="85"/>
      <c r="I16" s="119" t="s">
        <v>120</v>
      </c>
      <c r="J16" s="120"/>
      <c r="K16" s="120"/>
      <c r="L16" s="121"/>
      <c r="O16" s="122">
        <f>SUMPRODUCT(--ISNUMBER(MaestroLotes!E6:E145)*(MaestroLotes!I6:I145="Disponible"))</f>
        <v>28</v>
      </c>
      <c r="P16" s="8"/>
      <c r="Q16" s="8"/>
      <c r="R16" s="8"/>
      <c r="S16" s="8"/>
    </row>
    <row r="17" ht="51.75" customHeight="1">
      <c r="A17" s="127">
        <f>COUNTIF(MaestroLotes!I6:I145,"Permutada")</f>
        <v>10</v>
      </c>
      <c r="B17" s="128"/>
      <c r="C17" s="128"/>
      <c r="D17" s="129"/>
      <c r="E17" s="131">
        <f>SUMPRODUCT(--ISNUMBER(MaestroLotes!E6:E145)*(MaestroLotes!I6:I145="No comercial"))</f>
        <v>6</v>
      </c>
      <c r="F17" s="132"/>
      <c r="G17" s="132"/>
      <c r="H17" s="134"/>
      <c r="I17" s="140">
        <f>A14-SUMPRODUCT(--ISNUMBER(MaestroLotes!E6:E145)*(MaestroLotes!I6:I145="Permutada"))-SUMPRODUCT(--ISNUMBER(MaestroLotes!E6:E145)*(MaestroLotes!I6:I145="No comercial")*ISERROR(SEARCH("Dominio público",MaestroLotes!J6:J145&amp;"")))</f>
        <v>33</v>
      </c>
      <c r="J17" s="141"/>
      <c r="K17" s="141"/>
      <c r="L17" s="142"/>
      <c r="P17" s="8">
        <f>SUMPRODUCT(--ISNUMBER(MaestroLotes!E6:E145)*(MaestroLotes!I6:I145="No comercial"))</f>
        <v>6</v>
      </c>
      <c r="Q17" s="8"/>
      <c r="R17" s="8"/>
      <c r="S17" s="8"/>
    </row>
    <row r="18" ht="48.0" customHeight="1">
      <c r="A18" s="26"/>
      <c r="B18" s="26"/>
      <c r="C18" s="26"/>
      <c r="D18" s="26"/>
      <c r="E18" s="28"/>
      <c r="F18" s="28"/>
      <c r="G18" s="28"/>
      <c r="H18" s="28"/>
      <c r="I18" s="28"/>
      <c r="J18" s="28"/>
      <c r="K18" s="28"/>
      <c r="L18" s="28"/>
      <c r="M18" s="29"/>
      <c r="N18" s="29"/>
      <c r="O18" s="29"/>
      <c r="P18" s="28"/>
      <c r="Q18" s="28">
        <f>COUNTIF(MaestroLotes!I6:I145,"Permutada")</f>
        <v>10</v>
      </c>
      <c r="R18" s="28"/>
      <c r="S18" s="28"/>
      <c r="T18" s="29"/>
      <c r="U18" s="29"/>
      <c r="V18" s="29"/>
      <c r="W18" s="29"/>
      <c r="X18" s="29"/>
      <c r="Y18" s="29"/>
      <c r="Z18" s="29"/>
    </row>
    <row r="19" ht="37.5" customHeight="1">
      <c r="A19" s="148" t="s">
        <v>131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5"/>
      <c r="P19" s="8"/>
      <c r="Q19" s="8"/>
      <c r="R19" s="8"/>
      <c r="S19" s="8"/>
    </row>
    <row r="20" ht="27.75" customHeight="1">
      <c r="A20" s="151" t="s">
        <v>132</v>
      </c>
      <c r="B20" s="84"/>
      <c r="C20" s="84"/>
      <c r="D20" s="85"/>
      <c r="E20" s="155" t="s">
        <v>133</v>
      </c>
      <c r="F20" s="84"/>
      <c r="G20" s="84"/>
      <c r="H20" s="85"/>
      <c r="I20" s="157" t="s">
        <v>134</v>
      </c>
      <c r="J20" s="84"/>
      <c r="K20" s="84"/>
      <c r="L20" s="85"/>
      <c r="P20" s="8"/>
      <c r="Q20" s="8"/>
      <c r="R20" s="8"/>
      <c r="S20" s="8"/>
    </row>
    <row r="21" ht="51.75" customHeight="1">
      <c r="A21" s="163">
        <f>SUMPRODUCT((MaestroLotes!I6:I145="Disponible")*(MaestroLotes!N6:N145="UF"))</f>
        <v>50</v>
      </c>
      <c r="B21" s="164"/>
      <c r="C21" s="164"/>
      <c r="D21" s="165"/>
      <c r="E21" s="127">
        <f>SUMPRODUCT((MaestroLotes!I6:I145="Vendido")*(MaestroLotes!N6:N145="UF"))</f>
        <v>0</v>
      </c>
      <c r="F21" s="128"/>
      <c r="G21" s="128"/>
      <c r="H21" s="129"/>
      <c r="I21" s="97">
        <f>SUMPRODUCT((MaestroLotes!N6:N145="UF")*(MaestroLotes!I6:I145&lt;&gt;"")*(MaestroLotes!I6:I145&lt;&gt;"No comercial"))</f>
        <v>117</v>
      </c>
      <c r="J21" s="100"/>
      <c r="K21" s="100"/>
      <c r="L21" s="102"/>
      <c r="P21" s="8"/>
      <c r="Q21" s="8"/>
      <c r="R21" s="8"/>
      <c r="S21" s="8"/>
    </row>
    <row r="22" ht="48.0" customHeight="1">
      <c r="A22" s="26"/>
      <c r="B22" s="26"/>
      <c r="C22" s="26"/>
      <c r="D22" s="26"/>
      <c r="E22" s="28"/>
      <c r="F22" s="28"/>
      <c r="G22" s="28"/>
      <c r="H22" s="28"/>
      <c r="I22" s="28"/>
      <c r="J22" s="28"/>
      <c r="K22" s="28"/>
      <c r="L22" s="28"/>
      <c r="M22" s="29"/>
      <c r="N22" s="29"/>
      <c r="O22" s="29"/>
      <c r="P22" s="28"/>
      <c r="Q22" s="28"/>
      <c r="R22" s="28"/>
      <c r="S22" s="28"/>
      <c r="T22" s="29"/>
      <c r="U22" s="29"/>
      <c r="V22" s="29"/>
      <c r="W22" s="29"/>
      <c r="X22" s="29"/>
      <c r="Y22" s="29"/>
      <c r="Z22" s="29"/>
    </row>
    <row r="23" ht="48.0" customHeight="1">
      <c r="A23" s="26"/>
      <c r="B23" s="26"/>
      <c r="C23" s="26"/>
      <c r="D23" s="26"/>
      <c r="E23" s="28"/>
      <c r="F23" s="28"/>
      <c r="G23" s="28"/>
      <c r="H23" s="28"/>
      <c r="I23" s="28"/>
      <c r="J23" s="28"/>
      <c r="K23" s="28"/>
      <c r="L23" s="28"/>
      <c r="M23" s="29"/>
      <c r="N23" s="29"/>
      <c r="O23" s="29"/>
      <c r="P23" s="28"/>
      <c r="Q23" s="28"/>
      <c r="R23" s="28"/>
      <c r="S23" s="28"/>
      <c r="T23" s="29"/>
      <c r="U23" s="29"/>
      <c r="V23" s="29"/>
      <c r="W23" s="29"/>
      <c r="X23" s="29"/>
      <c r="Y23" s="29"/>
      <c r="Z23" s="29"/>
    </row>
    <row r="24" ht="37.5" customHeight="1">
      <c r="A24" s="168" t="s">
        <v>137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5"/>
      <c r="P24" s="8"/>
      <c r="Q24" s="8"/>
      <c r="R24" s="8"/>
      <c r="S24" s="8"/>
    </row>
    <row r="25" ht="27.75" customHeight="1">
      <c r="A25" s="157" t="s">
        <v>139</v>
      </c>
      <c r="B25" s="84"/>
      <c r="C25" s="84"/>
      <c r="D25" s="85"/>
      <c r="E25" s="171" t="s">
        <v>140</v>
      </c>
      <c r="F25" s="84"/>
      <c r="G25" s="84"/>
      <c r="H25" s="85"/>
      <c r="I25" s="172" t="s">
        <v>142</v>
      </c>
      <c r="J25" s="84"/>
      <c r="K25" s="84"/>
      <c r="L25" s="85"/>
      <c r="P25" s="8"/>
      <c r="Q25" s="8"/>
      <c r="R25" s="8"/>
      <c r="S25" s="8"/>
    </row>
    <row r="26" ht="51.75" customHeight="1">
      <c r="A26" s="174">
        <f>MaestroLotes!G137</f>
        <v>1619103.933</v>
      </c>
      <c r="B26" s="100"/>
      <c r="C26" s="100"/>
      <c r="D26" s="102"/>
      <c r="E26" s="175">
        <f>(A34)+(A26*4%)</f>
        <v>447914.4073</v>
      </c>
      <c r="F26" s="132"/>
      <c r="G26" s="132"/>
      <c r="H26" s="134"/>
      <c r="I26" s="176">
        <f>A26-E26</f>
        <v>1171189.526</v>
      </c>
      <c r="J26" s="111"/>
      <c r="K26" s="111"/>
      <c r="L26" s="113"/>
      <c r="P26" s="8"/>
      <c r="Q26" s="8"/>
      <c r="R26" s="8"/>
      <c r="S26" s="8"/>
    </row>
    <row r="27" ht="21.75" customHeight="1">
      <c r="A27" s="177"/>
      <c r="B27" s="8"/>
      <c r="C27" s="8"/>
      <c r="D27" s="8"/>
      <c r="E27" s="177"/>
      <c r="I27" s="177"/>
      <c r="P27" s="8"/>
      <c r="Q27" s="8"/>
      <c r="R27" s="8"/>
      <c r="S27" s="8"/>
    </row>
    <row r="28" ht="27.75" customHeight="1">
      <c r="A28" s="178" t="s">
        <v>146</v>
      </c>
      <c r="B28" s="84"/>
      <c r="C28" s="84"/>
      <c r="D28" s="85"/>
      <c r="E28" s="179" t="s">
        <v>147</v>
      </c>
      <c r="F28" s="84"/>
      <c r="G28" s="84"/>
      <c r="H28" s="85"/>
      <c r="I28" s="180" t="s">
        <v>148</v>
      </c>
      <c r="J28" s="84"/>
      <c r="K28" s="84"/>
      <c r="L28" s="85"/>
      <c r="P28" s="8"/>
      <c r="Q28" s="8"/>
      <c r="R28" s="8"/>
      <c r="S28" s="8"/>
    </row>
    <row r="29" ht="51.75" customHeight="1">
      <c r="A29" s="181">
        <f>SUM(Clientes!M5:M34)</f>
        <v>100330</v>
      </c>
      <c r="B29" s="128"/>
      <c r="C29" s="128"/>
      <c r="D29" s="129"/>
      <c r="E29" s="183">
        <v>2000000.0</v>
      </c>
      <c r="F29" s="184"/>
      <c r="G29" s="184"/>
      <c r="H29" s="185"/>
      <c r="I29" s="186">
        <f>SUM(Clientes!K5:K34)</f>
        <v>7755</v>
      </c>
      <c r="J29" s="107"/>
      <c r="K29" s="107"/>
      <c r="L29" s="108"/>
      <c r="P29" s="8"/>
      <c r="Q29" s="8"/>
      <c r="R29" s="8"/>
      <c r="S29" s="8"/>
    </row>
    <row r="30" ht="21.75" customHeight="1">
      <c r="A30" s="177"/>
      <c r="E30" s="25" t="s">
        <v>152</v>
      </c>
      <c r="F30" s="8"/>
      <c r="G30" s="8"/>
      <c r="H30" s="8"/>
      <c r="I30" s="177"/>
      <c r="P30" s="8"/>
      <c r="Q30" s="8"/>
      <c r="R30" s="8"/>
      <c r="S30" s="8"/>
    </row>
    <row r="31" ht="48.0" customHeight="1">
      <c r="A31" s="187"/>
      <c r="E31" s="187"/>
      <c r="I31" s="187"/>
      <c r="M31" s="29"/>
      <c r="N31" s="29"/>
      <c r="O31" s="29"/>
      <c r="P31" s="28"/>
      <c r="Q31" s="28"/>
      <c r="R31" s="28"/>
      <c r="S31" s="28"/>
      <c r="T31" s="29"/>
      <c r="U31" s="29"/>
      <c r="V31" s="29"/>
      <c r="W31" s="29"/>
      <c r="X31" s="29"/>
      <c r="Y31" s="29"/>
      <c r="Z31" s="29"/>
    </row>
    <row r="32" ht="21.75" customHeight="1">
      <c r="M32" s="29"/>
      <c r="N32" s="29"/>
      <c r="O32" s="29"/>
      <c r="P32" s="28"/>
      <c r="Q32" s="28"/>
      <c r="R32" s="28"/>
      <c r="S32" s="28"/>
      <c r="T32" s="29"/>
      <c r="U32" s="29"/>
      <c r="V32" s="29"/>
      <c r="W32" s="29"/>
      <c r="X32" s="29"/>
      <c r="Y32" s="29"/>
      <c r="Z32" s="29"/>
    </row>
    <row r="33" ht="37.5" customHeight="1">
      <c r="A33" s="192" t="s">
        <v>157</v>
      </c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2"/>
      <c r="M33" s="29"/>
      <c r="N33" s="29"/>
      <c r="O33" s="29"/>
      <c r="P33" s="28"/>
      <c r="Q33" s="28"/>
      <c r="R33" s="28"/>
      <c r="S33" s="28"/>
      <c r="T33" s="29"/>
      <c r="U33" s="29"/>
      <c r="V33" s="29"/>
      <c r="W33" s="29"/>
      <c r="X33" s="29"/>
      <c r="Y33" s="29"/>
      <c r="Z33" s="29"/>
    </row>
    <row r="34" ht="43.5" customHeight="1">
      <c r="A34" s="195">
        <f>DetalleCostos!$E$22</f>
        <v>383150.25</v>
      </c>
      <c r="B34" s="142"/>
      <c r="C34" s="195">
        <f>DetalleCostos!$F$22</f>
        <v>242000</v>
      </c>
      <c r="D34" s="142"/>
      <c r="E34" s="195">
        <f>DetalleCostos!$G$22</f>
        <v>225150</v>
      </c>
      <c r="F34" s="142"/>
      <c r="G34" s="195">
        <f>DetalleCostos!$H$22</f>
        <v>77500</v>
      </c>
      <c r="H34" s="142"/>
      <c r="I34" s="195">
        <f>DetalleCostos!$I$22</f>
        <v>147650</v>
      </c>
      <c r="J34" s="141"/>
      <c r="K34" s="141"/>
      <c r="L34" s="142"/>
      <c r="P34" s="8"/>
      <c r="Q34" s="8"/>
      <c r="R34" s="8"/>
      <c r="S34" s="8"/>
    </row>
    <row r="35" ht="19.5" customHeight="1">
      <c r="A35" s="196" t="s">
        <v>159</v>
      </c>
      <c r="C35" s="196" t="s">
        <v>160</v>
      </c>
      <c r="E35" s="196" t="s">
        <v>161</v>
      </c>
      <c r="G35" s="196" t="s">
        <v>162</v>
      </c>
      <c r="I35" s="196" t="s">
        <v>163</v>
      </c>
      <c r="P35" s="8"/>
      <c r="Q35" s="8"/>
      <c r="R35" s="8"/>
      <c r="S35" s="8"/>
    </row>
    <row r="36" ht="48.0" customHeight="1">
      <c r="A36" s="26"/>
      <c r="B36" s="26"/>
      <c r="C36" s="26"/>
      <c r="D36" s="26"/>
      <c r="E36" s="28"/>
      <c r="F36" s="28"/>
      <c r="G36" s="28"/>
      <c r="H36" s="28"/>
      <c r="I36" s="28"/>
      <c r="J36" s="28"/>
      <c r="K36" s="28"/>
      <c r="L36" s="28"/>
      <c r="M36" s="29"/>
      <c r="N36" s="29"/>
      <c r="O36" s="29"/>
      <c r="P36" s="28"/>
      <c r="Q36" s="28"/>
      <c r="R36" s="28"/>
      <c r="S36" s="28"/>
      <c r="T36" s="29"/>
      <c r="U36" s="29"/>
      <c r="V36" s="29"/>
      <c r="W36" s="29"/>
      <c r="X36" s="29"/>
      <c r="Y36" s="29"/>
      <c r="Z36" s="29"/>
    </row>
    <row r="37" ht="48.0" customHeight="1">
      <c r="A37" s="26"/>
      <c r="B37" s="26"/>
      <c r="C37" s="26"/>
      <c r="D37" s="26"/>
      <c r="E37" s="28"/>
      <c r="F37" s="28"/>
      <c r="G37" s="28"/>
      <c r="H37" s="28"/>
      <c r="I37" s="28"/>
      <c r="J37" s="28"/>
      <c r="K37" s="28"/>
      <c r="L37" s="28"/>
      <c r="M37" s="29"/>
      <c r="N37" s="29"/>
      <c r="O37" s="29"/>
      <c r="P37" s="28"/>
      <c r="Q37" s="28"/>
      <c r="R37" s="28"/>
      <c r="S37" s="28"/>
      <c r="T37" s="29"/>
      <c r="U37" s="29"/>
      <c r="V37" s="29"/>
      <c r="W37" s="29"/>
      <c r="X37" s="29"/>
      <c r="Y37" s="29"/>
      <c r="Z37" s="29"/>
    </row>
    <row r="38" ht="15.0" customHeight="1">
      <c r="A38" s="22"/>
      <c r="B38" s="8"/>
      <c r="C38" s="8"/>
      <c r="D38" s="8"/>
      <c r="E38" s="22"/>
      <c r="F38" s="8"/>
      <c r="G38" s="8"/>
      <c r="H38" s="8"/>
      <c r="I38" s="22"/>
      <c r="J38" s="8"/>
      <c r="K38" s="8"/>
      <c r="L38" s="8"/>
      <c r="P38" s="8"/>
      <c r="Q38" s="8"/>
      <c r="R38" s="8"/>
      <c r="S38" s="8"/>
    </row>
    <row r="39" ht="15.0" customHeight="1">
      <c r="A39" s="199"/>
      <c r="B39" s="8"/>
      <c r="C39" s="8"/>
      <c r="D39" s="8"/>
      <c r="E39" s="200"/>
      <c r="F39" s="8"/>
      <c r="G39" s="8"/>
      <c r="H39" s="8"/>
      <c r="I39" s="201"/>
      <c r="J39" s="8"/>
      <c r="K39" s="8"/>
      <c r="L39" s="8"/>
      <c r="P39" s="8"/>
      <c r="Q39" s="8"/>
      <c r="R39" s="8"/>
      <c r="S39" s="8"/>
    </row>
    <row r="40" ht="15.0" customHeight="1">
      <c r="A40" s="199"/>
      <c r="B40" s="8"/>
      <c r="C40" s="8"/>
      <c r="D40" s="8"/>
      <c r="E40" s="200"/>
      <c r="F40" s="8"/>
      <c r="G40" s="8"/>
      <c r="H40" s="8"/>
      <c r="I40" s="201"/>
      <c r="J40" s="8"/>
      <c r="K40" s="8"/>
      <c r="L40" s="8"/>
      <c r="P40" s="8"/>
      <c r="Q40" s="8"/>
      <c r="R40" s="8"/>
      <c r="S40" s="8"/>
    </row>
    <row r="41" ht="15.0" customHeight="1">
      <c r="A41" s="199"/>
      <c r="B41" s="8"/>
      <c r="C41" s="8"/>
      <c r="D41" s="8"/>
      <c r="E41" s="200"/>
      <c r="F41" s="8"/>
      <c r="G41" s="8"/>
      <c r="H41" s="8"/>
      <c r="I41" s="201"/>
      <c r="J41" s="8"/>
      <c r="K41" s="8"/>
      <c r="L41" s="8"/>
      <c r="P41" s="8"/>
      <c r="Q41" s="8"/>
      <c r="R41" s="8"/>
      <c r="S41" s="8"/>
    </row>
    <row r="42" ht="15.0" customHeight="1">
      <c r="A42" s="199"/>
      <c r="B42" s="8"/>
      <c r="C42" s="8"/>
      <c r="D42" s="8"/>
      <c r="E42" s="200"/>
      <c r="F42" s="8"/>
      <c r="G42" s="8"/>
      <c r="H42" s="8"/>
      <c r="I42" s="201"/>
      <c r="J42" s="8"/>
      <c r="K42" s="8"/>
      <c r="L42" s="8"/>
      <c r="P42" s="8"/>
      <c r="Q42" s="8"/>
      <c r="R42" s="8"/>
      <c r="S42" s="8"/>
    </row>
    <row r="43" ht="48.0" customHeight="1">
      <c r="A43" s="26"/>
      <c r="B43" s="26"/>
      <c r="C43" s="26"/>
      <c r="D43" s="26"/>
      <c r="E43" s="28"/>
      <c r="F43" s="28"/>
      <c r="G43" s="28"/>
      <c r="H43" s="28"/>
      <c r="I43" s="28"/>
      <c r="J43" s="28"/>
      <c r="K43" s="28"/>
      <c r="L43" s="28"/>
      <c r="M43" s="29"/>
      <c r="N43" s="29"/>
      <c r="O43" s="29"/>
      <c r="P43" s="28"/>
      <c r="Q43" s="28"/>
      <c r="R43" s="28"/>
      <c r="S43" s="28"/>
      <c r="T43" s="29"/>
      <c r="U43" s="29"/>
      <c r="V43" s="29"/>
      <c r="W43" s="29"/>
      <c r="X43" s="29"/>
      <c r="Y43" s="29"/>
      <c r="Z43" s="29"/>
    </row>
    <row r="44" ht="48.0" customHeight="1">
      <c r="A44" s="26"/>
      <c r="B44" s="26"/>
      <c r="C44" s="26"/>
      <c r="D44" s="26"/>
      <c r="E44" s="28"/>
      <c r="F44" s="28"/>
      <c r="G44" s="28"/>
      <c r="H44" s="28"/>
      <c r="I44" s="28"/>
      <c r="J44" s="28"/>
      <c r="K44" s="28"/>
      <c r="L44" s="28"/>
      <c r="M44" s="29"/>
      <c r="N44" s="29"/>
      <c r="O44" s="29"/>
      <c r="P44" s="28"/>
      <c r="Q44" s="28"/>
      <c r="R44" s="28"/>
      <c r="S44" s="28"/>
      <c r="T44" s="29"/>
      <c r="U44" s="29"/>
      <c r="V44" s="29"/>
      <c r="W44" s="29"/>
      <c r="X44" s="29"/>
      <c r="Y44" s="29"/>
      <c r="Z44" s="29"/>
    </row>
    <row r="45" ht="48.0" customHeight="1">
      <c r="A45" s="204" t="s">
        <v>166</v>
      </c>
      <c r="B45" s="3"/>
      <c r="C45" s="3"/>
      <c r="D45" s="5"/>
      <c r="E45" s="8"/>
      <c r="I45" s="8"/>
      <c r="P45" s="8"/>
      <c r="Q45" s="8"/>
      <c r="R45" s="8"/>
      <c r="S45" s="8"/>
    </row>
    <row r="46" ht="19.5" customHeight="1">
      <c r="A46" s="207" t="s">
        <v>168</v>
      </c>
      <c r="B46" s="84"/>
      <c r="C46" s="84"/>
      <c r="D46" s="85"/>
      <c r="E46" s="89" t="s">
        <v>169</v>
      </c>
      <c r="F46" s="84"/>
      <c r="G46" s="84"/>
      <c r="H46" s="85"/>
      <c r="I46" s="209" t="s">
        <v>170</v>
      </c>
      <c r="J46" s="84"/>
      <c r="K46" s="84"/>
      <c r="L46" s="85"/>
      <c r="P46" s="8"/>
      <c r="Q46" s="8"/>
      <c r="R46" s="8"/>
      <c r="S46" s="8"/>
    </row>
    <row r="47" ht="44.25" customHeight="1">
      <c r="A47" s="212">
        <f>(A26-A29)/2</f>
        <v>759386.9667</v>
      </c>
      <c r="B47" s="128"/>
      <c r="C47" s="128"/>
      <c r="D47" s="129"/>
      <c r="E47" s="215">
        <f>SUMIFS(MaestroLotes!$Q$6:$Q$145,MaestroLotes!$I$6:$I$145,"Disponible")</f>
        <v>305872.758</v>
      </c>
      <c r="F47" s="111"/>
      <c r="G47" s="111"/>
      <c r="H47" s="113"/>
      <c r="I47" s="216">
        <f>SUMIFS(MaestroLotes!$R$6:$R$145,MaestroLotes!$I$6:$I$145,"Disponible")</f>
        <v>556969.058</v>
      </c>
      <c r="J47" s="132"/>
      <c r="K47" s="132"/>
      <c r="L47" s="134"/>
      <c r="P47" s="8"/>
      <c r="Q47" s="8"/>
      <c r="R47" s="8"/>
      <c r="S47" s="8"/>
    </row>
    <row r="48" ht="48.0" customHeight="1">
      <c r="A48" s="177" t="s">
        <v>172</v>
      </c>
      <c r="E48" s="177" t="s">
        <v>173</v>
      </c>
      <c r="I48" s="177" t="s">
        <v>174</v>
      </c>
      <c r="P48" s="8"/>
      <c r="Q48" s="8"/>
      <c r="R48" s="8"/>
      <c r="S48" s="8"/>
    </row>
    <row r="49" ht="19.5" customHeight="1">
      <c r="A49" s="157" t="s">
        <v>175</v>
      </c>
      <c r="B49" s="84"/>
      <c r="C49" s="84"/>
      <c r="D49" s="85"/>
      <c r="E49" s="217" t="s">
        <v>176</v>
      </c>
      <c r="F49" s="84"/>
      <c r="G49" s="84"/>
      <c r="H49" s="85"/>
      <c r="I49" s="172" t="s">
        <v>177</v>
      </c>
      <c r="J49" s="84"/>
      <c r="K49" s="84"/>
      <c r="L49" s="85"/>
      <c r="P49" s="8"/>
      <c r="Q49" s="8"/>
      <c r="R49" s="8"/>
      <c r="S49" s="8"/>
    </row>
    <row r="50" ht="49.5" customHeight="1">
      <c r="A50" s="221">
        <f>SUMIFS(MaestroLotes!$G$6:$G$145,MaestroLotes!$I$6:$I$145,"Disponible")</f>
        <v>502192.6</v>
      </c>
      <c r="B50" s="223"/>
      <c r="C50" s="223"/>
      <c r="D50" s="225"/>
      <c r="E50" s="228">
        <f>SUMIFS(MaestroLotes!$R$6:$R$145,MaestroLotes!$I$6:$I$145,"Disponible")-SUMIFS(MaestroLotes!$G$6:$G$145,MaestroLotes!$I$6:$I$145,"Disponible")</f>
        <v>54776.45798</v>
      </c>
      <c r="F50" s="230"/>
      <c r="G50" s="231"/>
      <c r="H50" s="231"/>
      <c r="I50" s="235">
        <f>IFERROR(SUMIFS(MaestroLotes!$R$6:$R$145,MaestroLotes!$I$6:$I$145,"Disponible")/SUMIFS(MaestroLotes!$G$6:$G$145,MaestroLotes!$I$6:$I$145,"Disponible")-1,0)</f>
        <v>0.109074602</v>
      </c>
      <c r="J50" s="236"/>
      <c r="K50" s="236"/>
      <c r="L50" s="236"/>
      <c r="P50" s="8"/>
      <c r="Q50" s="8"/>
      <c r="R50" s="8"/>
      <c r="S50" s="8"/>
    </row>
    <row r="51" ht="33.75" customHeight="1">
      <c r="A51" s="177" t="s">
        <v>182</v>
      </c>
      <c r="P51" s="8"/>
      <c r="Q51" s="8"/>
      <c r="R51" s="8"/>
      <c r="S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P52" s="8"/>
      <c r="Q52" s="8"/>
      <c r="R52" s="8"/>
      <c r="S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P53" s="8"/>
      <c r="Q53" s="8"/>
      <c r="R53" s="8"/>
      <c r="S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P54" s="8"/>
      <c r="Q54" s="8"/>
      <c r="R54" s="8"/>
      <c r="S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P55" s="8"/>
      <c r="Q55" s="8"/>
      <c r="R55" s="8"/>
      <c r="S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P56" s="8"/>
      <c r="Q56" s="8"/>
      <c r="R56" s="8"/>
      <c r="S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P57" s="8"/>
      <c r="Q57" s="8"/>
      <c r="R57" s="8"/>
      <c r="S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P58" s="8"/>
      <c r="Q58" s="8"/>
      <c r="R58" s="8"/>
      <c r="S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P59" s="8"/>
      <c r="Q59" s="8"/>
      <c r="R59" s="8"/>
      <c r="S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P60" s="8"/>
      <c r="Q60" s="8"/>
      <c r="R60" s="8"/>
      <c r="S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P61" s="8"/>
      <c r="Q61" s="8"/>
      <c r="R61" s="8"/>
      <c r="S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P62" s="8"/>
      <c r="Q62" s="8"/>
      <c r="R62" s="8"/>
      <c r="S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P63" s="8"/>
      <c r="Q63" s="8"/>
      <c r="R63" s="8"/>
      <c r="S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P64" s="8"/>
      <c r="Q64" s="8"/>
      <c r="R64" s="8"/>
      <c r="S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P65" s="8"/>
      <c r="Q65" s="8"/>
      <c r="R65" s="8"/>
      <c r="S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P66" s="8"/>
      <c r="Q66" s="8"/>
      <c r="R66" s="8"/>
      <c r="S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P67" s="8"/>
      <c r="Q67" s="8"/>
      <c r="R67" s="8"/>
      <c r="S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P68" s="8"/>
      <c r="Q68" s="8"/>
      <c r="R68" s="8"/>
      <c r="S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P69" s="8"/>
      <c r="Q69" s="8"/>
      <c r="R69" s="8"/>
      <c r="S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P70" s="8"/>
      <c r="Q70" s="8"/>
      <c r="R70" s="8"/>
      <c r="S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P71" s="8"/>
      <c r="Q71" s="8"/>
      <c r="R71" s="8"/>
      <c r="S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P72" s="8"/>
      <c r="Q72" s="8"/>
      <c r="R72" s="8"/>
      <c r="S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P73" s="8"/>
      <c r="Q73" s="8"/>
      <c r="R73" s="8"/>
      <c r="S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P74" s="8"/>
      <c r="Q74" s="8"/>
      <c r="R74" s="8"/>
      <c r="S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P75" s="8"/>
      <c r="Q75" s="8"/>
      <c r="R75" s="8"/>
      <c r="S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P76" s="8"/>
      <c r="Q76" s="8"/>
      <c r="R76" s="8"/>
      <c r="S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P77" s="8"/>
      <c r="Q77" s="8"/>
      <c r="R77" s="8"/>
      <c r="S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P78" s="8"/>
      <c r="Q78" s="8"/>
      <c r="R78" s="8"/>
      <c r="S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P79" s="8"/>
      <c r="Q79" s="8"/>
      <c r="R79" s="8"/>
      <c r="S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P80" s="8"/>
      <c r="Q80" s="8"/>
      <c r="R80" s="8"/>
      <c r="S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P81" s="8"/>
      <c r="Q81" s="8"/>
      <c r="R81" s="8"/>
      <c r="S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P82" s="8"/>
      <c r="Q82" s="8"/>
      <c r="R82" s="8"/>
      <c r="S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P83" s="8"/>
      <c r="Q83" s="8"/>
      <c r="R83" s="8"/>
      <c r="S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P84" s="8"/>
      <c r="Q84" s="8"/>
      <c r="R84" s="8"/>
      <c r="S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P85" s="8"/>
      <c r="Q85" s="8"/>
      <c r="R85" s="8"/>
      <c r="S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P86" s="8"/>
      <c r="Q86" s="8"/>
      <c r="R86" s="8"/>
      <c r="S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P87" s="8"/>
      <c r="Q87" s="8"/>
      <c r="R87" s="8"/>
      <c r="S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P88" s="8"/>
      <c r="Q88" s="8"/>
      <c r="R88" s="8"/>
      <c r="S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P89" s="8"/>
      <c r="Q89" s="8"/>
      <c r="R89" s="8"/>
      <c r="S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P90" s="8"/>
      <c r="Q90" s="8"/>
      <c r="R90" s="8"/>
      <c r="S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P91" s="8"/>
      <c r="Q91" s="8"/>
      <c r="R91" s="8"/>
      <c r="S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P92" s="8"/>
      <c r="Q92" s="8"/>
      <c r="R92" s="8"/>
      <c r="S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P93" s="8"/>
      <c r="Q93" s="8"/>
      <c r="R93" s="8"/>
      <c r="S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P94" s="8"/>
      <c r="Q94" s="8"/>
      <c r="R94" s="8"/>
      <c r="S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P95" s="8"/>
      <c r="Q95" s="8"/>
      <c r="R95" s="8"/>
      <c r="S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P96" s="8"/>
      <c r="Q96" s="8"/>
      <c r="R96" s="8"/>
      <c r="S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P97" s="8"/>
      <c r="Q97" s="8"/>
      <c r="R97" s="8"/>
      <c r="S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P98" s="8"/>
      <c r="Q98" s="8"/>
      <c r="R98" s="8"/>
      <c r="S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P99" s="8"/>
      <c r="Q99" s="8"/>
      <c r="R99" s="8"/>
      <c r="S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P100" s="8"/>
      <c r="Q100" s="8"/>
      <c r="R100" s="8"/>
      <c r="S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P101" s="8"/>
      <c r="Q101" s="8"/>
      <c r="R101" s="8"/>
      <c r="S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P102" s="8"/>
      <c r="Q102" s="8"/>
      <c r="R102" s="8"/>
      <c r="S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P103" s="8"/>
      <c r="Q103" s="8"/>
      <c r="R103" s="8"/>
      <c r="S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P104" s="8"/>
      <c r="Q104" s="8"/>
      <c r="R104" s="8"/>
      <c r="S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P105" s="8"/>
      <c r="Q105" s="8"/>
      <c r="R105" s="8"/>
      <c r="S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P106" s="8"/>
      <c r="Q106" s="8"/>
      <c r="R106" s="8"/>
      <c r="S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P107" s="8"/>
      <c r="Q107" s="8"/>
      <c r="R107" s="8"/>
      <c r="S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P108" s="8"/>
      <c r="Q108" s="8"/>
      <c r="R108" s="8"/>
      <c r="S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P109" s="8"/>
      <c r="Q109" s="8"/>
      <c r="R109" s="8"/>
      <c r="S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P110" s="8"/>
      <c r="Q110" s="8"/>
      <c r="R110" s="8"/>
      <c r="S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P111" s="8"/>
      <c r="Q111" s="8"/>
      <c r="R111" s="8"/>
      <c r="S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P112" s="8"/>
      <c r="Q112" s="8"/>
      <c r="R112" s="8"/>
      <c r="S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P113" s="8"/>
      <c r="Q113" s="8"/>
      <c r="R113" s="8"/>
      <c r="S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P114" s="8"/>
      <c r="Q114" s="8"/>
      <c r="R114" s="8"/>
      <c r="S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P115" s="8"/>
      <c r="Q115" s="8"/>
      <c r="R115" s="8"/>
      <c r="S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P116" s="8"/>
      <c r="Q116" s="8"/>
      <c r="R116" s="8"/>
      <c r="S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P117" s="8"/>
      <c r="Q117" s="8"/>
      <c r="R117" s="8"/>
      <c r="S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P118" s="8"/>
      <c r="Q118" s="8"/>
      <c r="R118" s="8"/>
      <c r="S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P119" s="8"/>
      <c r="Q119" s="8"/>
      <c r="R119" s="8"/>
      <c r="S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P120" s="8"/>
      <c r="Q120" s="8"/>
      <c r="R120" s="8"/>
      <c r="S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P121" s="8"/>
      <c r="Q121" s="8"/>
      <c r="R121" s="8"/>
      <c r="S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P122" s="8"/>
      <c r="Q122" s="8"/>
      <c r="R122" s="8"/>
      <c r="S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P123" s="8"/>
      <c r="Q123" s="8"/>
      <c r="R123" s="8"/>
      <c r="S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P124" s="8"/>
      <c r="Q124" s="8"/>
      <c r="R124" s="8"/>
      <c r="S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P125" s="8"/>
      <c r="Q125" s="8"/>
      <c r="R125" s="8"/>
      <c r="S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P126" s="8"/>
      <c r="Q126" s="8"/>
      <c r="R126" s="8"/>
      <c r="S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P127" s="8"/>
      <c r="Q127" s="8"/>
      <c r="R127" s="8"/>
      <c r="S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P128" s="8"/>
      <c r="Q128" s="8"/>
      <c r="R128" s="8"/>
      <c r="S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P129" s="8"/>
      <c r="Q129" s="8"/>
      <c r="R129" s="8"/>
      <c r="S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P130" s="8"/>
      <c r="Q130" s="8"/>
      <c r="R130" s="8"/>
      <c r="S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P131" s="8"/>
      <c r="Q131" s="8"/>
      <c r="R131" s="8"/>
      <c r="S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P132" s="8"/>
      <c r="Q132" s="8"/>
      <c r="R132" s="8"/>
      <c r="S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P133" s="8"/>
      <c r="Q133" s="8"/>
      <c r="R133" s="8"/>
      <c r="S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P134" s="8"/>
      <c r="Q134" s="8"/>
      <c r="R134" s="8"/>
      <c r="S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P135" s="8"/>
      <c r="Q135" s="8"/>
      <c r="R135" s="8"/>
      <c r="S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P136" s="8"/>
      <c r="Q136" s="8"/>
      <c r="R136" s="8"/>
      <c r="S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P137" s="8"/>
      <c r="Q137" s="8"/>
      <c r="R137" s="8"/>
      <c r="S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P138" s="8"/>
      <c r="Q138" s="8"/>
      <c r="R138" s="8"/>
      <c r="S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P139" s="8"/>
      <c r="Q139" s="8"/>
      <c r="R139" s="8"/>
      <c r="S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P140" s="8"/>
      <c r="Q140" s="8"/>
      <c r="R140" s="8"/>
      <c r="S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P141" s="8"/>
      <c r="Q141" s="8"/>
      <c r="R141" s="8"/>
      <c r="S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P142" s="8"/>
      <c r="Q142" s="8"/>
      <c r="R142" s="8"/>
      <c r="S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P143" s="8"/>
      <c r="Q143" s="8"/>
      <c r="R143" s="8"/>
      <c r="S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P144" s="8"/>
      <c r="Q144" s="8"/>
      <c r="R144" s="8"/>
      <c r="S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P145" s="8"/>
      <c r="Q145" s="8"/>
      <c r="R145" s="8"/>
      <c r="S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P146" s="8"/>
      <c r="Q146" s="8"/>
      <c r="R146" s="8"/>
      <c r="S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P147" s="8"/>
      <c r="Q147" s="8"/>
      <c r="R147" s="8"/>
      <c r="S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P148" s="8"/>
      <c r="Q148" s="8"/>
      <c r="R148" s="8"/>
      <c r="S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P149" s="8"/>
      <c r="Q149" s="8"/>
      <c r="R149" s="8"/>
      <c r="S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P150" s="8"/>
      <c r="Q150" s="8"/>
      <c r="R150" s="8"/>
      <c r="S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P151" s="8"/>
      <c r="Q151" s="8"/>
      <c r="R151" s="8"/>
      <c r="S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P152" s="8"/>
      <c r="Q152" s="8"/>
      <c r="R152" s="8"/>
      <c r="S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P153" s="8"/>
      <c r="Q153" s="8"/>
      <c r="R153" s="8"/>
      <c r="S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P154" s="8"/>
      <c r="Q154" s="8"/>
      <c r="R154" s="8"/>
      <c r="S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P155" s="8"/>
      <c r="Q155" s="8"/>
      <c r="R155" s="8"/>
      <c r="S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P156" s="8"/>
      <c r="Q156" s="8"/>
      <c r="R156" s="8"/>
      <c r="S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P157" s="8"/>
      <c r="Q157" s="8"/>
      <c r="R157" s="8"/>
      <c r="S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P158" s="8"/>
      <c r="Q158" s="8"/>
      <c r="R158" s="8"/>
      <c r="S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P159" s="8"/>
      <c r="Q159" s="8"/>
      <c r="R159" s="8"/>
      <c r="S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P160" s="8"/>
      <c r="Q160" s="8"/>
      <c r="R160" s="8"/>
      <c r="S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P161" s="8"/>
      <c r="Q161" s="8"/>
      <c r="R161" s="8"/>
      <c r="S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P162" s="8"/>
      <c r="Q162" s="8"/>
      <c r="R162" s="8"/>
      <c r="S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P163" s="8"/>
      <c r="Q163" s="8"/>
      <c r="R163" s="8"/>
      <c r="S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P164" s="8"/>
      <c r="Q164" s="8"/>
      <c r="R164" s="8"/>
      <c r="S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P165" s="8"/>
      <c r="Q165" s="8"/>
      <c r="R165" s="8"/>
      <c r="S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P166" s="8"/>
      <c r="Q166" s="8"/>
      <c r="R166" s="8"/>
      <c r="S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P167" s="8"/>
      <c r="Q167" s="8"/>
      <c r="R167" s="8"/>
      <c r="S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P168" s="8"/>
      <c r="Q168" s="8"/>
      <c r="R168" s="8"/>
      <c r="S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P169" s="8"/>
      <c r="Q169" s="8"/>
      <c r="R169" s="8"/>
      <c r="S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P170" s="8"/>
      <c r="Q170" s="8"/>
      <c r="R170" s="8"/>
      <c r="S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P171" s="8"/>
      <c r="Q171" s="8"/>
      <c r="R171" s="8"/>
      <c r="S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P172" s="8"/>
      <c r="Q172" s="8"/>
      <c r="R172" s="8"/>
      <c r="S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P173" s="8"/>
      <c r="Q173" s="8"/>
      <c r="R173" s="8"/>
      <c r="S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P174" s="8"/>
      <c r="Q174" s="8"/>
      <c r="R174" s="8"/>
      <c r="S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P175" s="8"/>
      <c r="Q175" s="8"/>
      <c r="R175" s="8"/>
      <c r="S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P176" s="8"/>
      <c r="Q176" s="8"/>
      <c r="R176" s="8"/>
      <c r="S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P177" s="8"/>
      <c r="Q177" s="8"/>
      <c r="R177" s="8"/>
      <c r="S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P178" s="8"/>
      <c r="Q178" s="8"/>
      <c r="R178" s="8"/>
      <c r="S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P179" s="8"/>
      <c r="Q179" s="8"/>
      <c r="R179" s="8"/>
      <c r="S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P180" s="8"/>
      <c r="Q180" s="8"/>
      <c r="R180" s="8"/>
      <c r="S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P181" s="8"/>
      <c r="Q181" s="8"/>
      <c r="R181" s="8"/>
      <c r="S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P182" s="8"/>
      <c r="Q182" s="8"/>
      <c r="R182" s="8"/>
      <c r="S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P183" s="8"/>
      <c r="Q183" s="8"/>
      <c r="R183" s="8"/>
      <c r="S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P184" s="8"/>
      <c r="Q184" s="8"/>
      <c r="R184" s="8"/>
      <c r="S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P185" s="8"/>
      <c r="Q185" s="8"/>
      <c r="R185" s="8"/>
      <c r="S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P186" s="8"/>
      <c r="Q186" s="8"/>
      <c r="R186" s="8"/>
      <c r="S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P187" s="8"/>
      <c r="Q187" s="8"/>
      <c r="R187" s="8"/>
      <c r="S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P188" s="8"/>
      <c r="Q188" s="8"/>
      <c r="R188" s="8"/>
      <c r="S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P189" s="8"/>
      <c r="Q189" s="8"/>
      <c r="R189" s="8"/>
      <c r="S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P190" s="8"/>
      <c r="Q190" s="8"/>
      <c r="R190" s="8"/>
      <c r="S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P191" s="8"/>
      <c r="Q191" s="8"/>
      <c r="R191" s="8"/>
      <c r="S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P192" s="8"/>
      <c r="Q192" s="8"/>
      <c r="R192" s="8"/>
      <c r="S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P193" s="8"/>
      <c r="Q193" s="8"/>
      <c r="R193" s="8"/>
      <c r="S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P194" s="8"/>
      <c r="Q194" s="8"/>
      <c r="R194" s="8"/>
      <c r="S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P195" s="8"/>
      <c r="Q195" s="8"/>
      <c r="R195" s="8"/>
      <c r="S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P196" s="8"/>
      <c r="Q196" s="8"/>
      <c r="R196" s="8"/>
      <c r="S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P197" s="8"/>
      <c r="Q197" s="8"/>
      <c r="R197" s="8"/>
      <c r="S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P198" s="8"/>
      <c r="Q198" s="8"/>
      <c r="R198" s="8"/>
      <c r="S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P199" s="8"/>
      <c r="Q199" s="8"/>
      <c r="R199" s="8"/>
      <c r="S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P200" s="8"/>
      <c r="Q200" s="8"/>
      <c r="R200" s="8"/>
      <c r="S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P201" s="8"/>
      <c r="Q201" s="8"/>
      <c r="R201" s="8"/>
      <c r="S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P202" s="8"/>
      <c r="Q202" s="8"/>
      <c r="R202" s="8"/>
      <c r="S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P203" s="8"/>
      <c r="Q203" s="8"/>
      <c r="R203" s="8"/>
      <c r="S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P204" s="8"/>
      <c r="Q204" s="8"/>
      <c r="R204" s="8"/>
      <c r="S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P205" s="8"/>
      <c r="Q205" s="8"/>
      <c r="R205" s="8"/>
      <c r="S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P206" s="8"/>
      <c r="Q206" s="8"/>
      <c r="R206" s="8"/>
      <c r="S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P207" s="8"/>
      <c r="Q207" s="8"/>
      <c r="R207" s="8"/>
      <c r="S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P208" s="8"/>
      <c r="Q208" s="8"/>
      <c r="R208" s="8"/>
      <c r="S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P209" s="8"/>
      <c r="Q209" s="8"/>
      <c r="R209" s="8"/>
      <c r="S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P210" s="8"/>
      <c r="Q210" s="8"/>
      <c r="R210" s="8"/>
      <c r="S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P211" s="8"/>
      <c r="Q211" s="8"/>
      <c r="R211" s="8"/>
      <c r="S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P212" s="8"/>
      <c r="Q212" s="8"/>
      <c r="R212" s="8"/>
      <c r="S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P213" s="8"/>
      <c r="Q213" s="8"/>
      <c r="R213" s="8"/>
      <c r="S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P214" s="8"/>
      <c r="Q214" s="8"/>
      <c r="R214" s="8"/>
      <c r="S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P215" s="8"/>
      <c r="Q215" s="8"/>
      <c r="R215" s="8"/>
      <c r="S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P216" s="8"/>
      <c r="Q216" s="8"/>
      <c r="R216" s="8"/>
      <c r="S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P217" s="8"/>
      <c r="Q217" s="8"/>
      <c r="R217" s="8"/>
      <c r="S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P218" s="8"/>
      <c r="Q218" s="8"/>
      <c r="R218" s="8"/>
      <c r="S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P219" s="8"/>
      <c r="Q219" s="8"/>
      <c r="R219" s="8"/>
      <c r="S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P220" s="8"/>
      <c r="Q220" s="8"/>
      <c r="R220" s="8"/>
      <c r="S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P221" s="8"/>
      <c r="Q221" s="8"/>
      <c r="R221" s="8"/>
      <c r="S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P222" s="8"/>
      <c r="Q222" s="8"/>
      <c r="R222" s="8"/>
      <c r="S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P223" s="8"/>
      <c r="Q223" s="8"/>
      <c r="R223" s="8"/>
      <c r="S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P224" s="8"/>
      <c r="Q224" s="8"/>
      <c r="R224" s="8"/>
      <c r="S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P225" s="8"/>
      <c r="Q225" s="8"/>
      <c r="R225" s="8"/>
      <c r="S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P226" s="8"/>
      <c r="Q226" s="8"/>
      <c r="R226" s="8"/>
      <c r="S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P227" s="8"/>
      <c r="Q227" s="8"/>
      <c r="R227" s="8"/>
      <c r="S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P228" s="8"/>
      <c r="Q228" s="8"/>
      <c r="R228" s="8"/>
      <c r="S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P229" s="8"/>
      <c r="Q229" s="8"/>
      <c r="R229" s="8"/>
      <c r="S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P230" s="8"/>
      <c r="Q230" s="8"/>
      <c r="R230" s="8"/>
      <c r="S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P231" s="8"/>
      <c r="Q231" s="8"/>
      <c r="R231" s="8"/>
      <c r="S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P232" s="8"/>
      <c r="Q232" s="8"/>
      <c r="R232" s="8"/>
      <c r="S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P233" s="8"/>
      <c r="Q233" s="8"/>
      <c r="R233" s="8"/>
      <c r="S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P234" s="8"/>
      <c r="Q234" s="8"/>
      <c r="R234" s="8"/>
      <c r="S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P235" s="8"/>
      <c r="Q235" s="8"/>
      <c r="R235" s="8"/>
      <c r="S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P236" s="8"/>
      <c r="Q236" s="8"/>
      <c r="R236" s="8"/>
      <c r="S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P237" s="8"/>
      <c r="Q237" s="8"/>
      <c r="R237" s="8"/>
      <c r="S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P238" s="8"/>
      <c r="Q238" s="8"/>
      <c r="R238" s="8"/>
      <c r="S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P239" s="8"/>
      <c r="Q239" s="8"/>
      <c r="R239" s="8"/>
      <c r="S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P240" s="8"/>
      <c r="Q240" s="8"/>
      <c r="R240" s="8"/>
      <c r="S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P241" s="8"/>
      <c r="Q241" s="8"/>
      <c r="R241" s="8"/>
      <c r="S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P242" s="8"/>
      <c r="Q242" s="8"/>
      <c r="R242" s="8"/>
      <c r="S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P243" s="8"/>
      <c r="Q243" s="8"/>
      <c r="R243" s="8"/>
      <c r="S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P244" s="8"/>
      <c r="Q244" s="8"/>
      <c r="R244" s="8"/>
      <c r="S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P245" s="8"/>
      <c r="Q245" s="8"/>
      <c r="R245" s="8"/>
      <c r="S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P246" s="8"/>
      <c r="Q246" s="8"/>
      <c r="R246" s="8"/>
      <c r="S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P247" s="8"/>
      <c r="Q247" s="8"/>
      <c r="R247" s="8"/>
      <c r="S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P248" s="8"/>
      <c r="Q248" s="8"/>
      <c r="R248" s="8"/>
      <c r="S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P249" s="8"/>
      <c r="Q249" s="8"/>
      <c r="R249" s="8"/>
      <c r="S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P250" s="8"/>
      <c r="Q250" s="8"/>
      <c r="R250" s="8"/>
      <c r="S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P251" s="8"/>
      <c r="Q251" s="8"/>
      <c r="R251" s="8"/>
      <c r="S251" s="8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91">
    <mergeCell ref="A17:D17"/>
    <mergeCell ref="E17:H17"/>
    <mergeCell ref="I17:L17"/>
    <mergeCell ref="A19:L19"/>
    <mergeCell ref="A20:D20"/>
    <mergeCell ref="E20:H20"/>
    <mergeCell ref="I20:L20"/>
    <mergeCell ref="A21:D21"/>
    <mergeCell ref="E21:H21"/>
    <mergeCell ref="I21:L21"/>
    <mergeCell ref="A24:L24"/>
    <mergeCell ref="A25:D25"/>
    <mergeCell ref="E25:H25"/>
    <mergeCell ref="I25:L25"/>
    <mergeCell ref="A26:D26"/>
    <mergeCell ref="E26:H26"/>
    <mergeCell ref="I26:L26"/>
    <mergeCell ref="E27:H27"/>
    <mergeCell ref="I27:L27"/>
    <mergeCell ref="E28:H28"/>
    <mergeCell ref="I28:L28"/>
    <mergeCell ref="A28:D28"/>
    <mergeCell ref="A29:D29"/>
    <mergeCell ref="E29:H29"/>
    <mergeCell ref="I29:L29"/>
    <mergeCell ref="A30:D30"/>
    <mergeCell ref="I30:L30"/>
    <mergeCell ref="A31:D31"/>
    <mergeCell ref="G35:H35"/>
    <mergeCell ref="I35:L35"/>
    <mergeCell ref="A33:L33"/>
    <mergeCell ref="A34:B34"/>
    <mergeCell ref="C34:D34"/>
    <mergeCell ref="E34:F34"/>
    <mergeCell ref="G34:H34"/>
    <mergeCell ref="I34:L34"/>
    <mergeCell ref="A35:B35"/>
    <mergeCell ref="C35:D35"/>
    <mergeCell ref="E35:F35"/>
    <mergeCell ref="A45:D45"/>
    <mergeCell ref="E45:H45"/>
    <mergeCell ref="I45:L45"/>
    <mergeCell ref="E46:H46"/>
    <mergeCell ref="I46:L46"/>
    <mergeCell ref="A49:D49"/>
    <mergeCell ref="E49:H49"/>
    <mergeCell ref="I49:L49"/>
    <mergeCell ref="A51:L51"/>
    <mergeCell ref="A46:D46"/>
    <mergeCell ref="A47:D47"/>
    <mergeCell ref="E47:H47"/>
    <mergeCell ref="I47:L47"/>
    <mergeCell ref="A48:D48"/>
    <mergeCell ref="E48:H48"/>
    <mergeCell ref="I48:L48"/>
    <mergeCell ref="A1:L1"/>
    <mergeCell ref="A2:L2"/>
    <mergeCell ref="A3:B3"/>
    <mergeCell ref="C3:D3"/>
    <mergeCell ref="E3:F3"/>
    <mergeCell ref="G3:H3"/>
    <mergeCell ref="I3:J3"/>
    <mergeCell ref="A5:L5"/>
    <mergeCell ref="P5:S5"/>
    <mergeCell ref="B6:E6"/>
    <mergeCell ref="G6:I6"/>
    <mergeCell ref="P6:S6"/>
    <mergeCell ref="G7:I7"/>
    <mergeCell ref="P7:S7"/>
    <mergeCell ref="P8:S8"/>
    <mergeCell ref="P11:R11"/>
    <mergeCell ref="P12:R12"/>
    <mergeCell ref="P13:R13"/>
    <mergeCell ref="B7:E7"/>
    <mergeCell ref="B8:E8"/>
    <mergeCell ref="G8:I8"/>
    <mergeCell ref="B9:E9"/>
    <mergeCell ref="G9:I9"/>
    <mergeCell ref="A11:L11"/>
    <mergeCell ref="A12:L12"/>
    <mergeCell ref="E16:H16"/>
    <mergeCell ref="I16:L16"/>
    <mergeCell ref="A13:D13"/>
    <mergeCell ref="E13:H13"/>
    <mergeCell ref="I13:L13"/>
    <mergeCell ref="A14:D14"/>
    <mergeCell ref="E14:H14"/>
    <mergeCell ref="I14:L14"/>
    <mergeCell ref="A16:D16"/>
    <mergeCell ref="E31:H31"/>
    <mergeCell ref="I31:L3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6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57.86"/>
    <col customWidth="1" min="2" max="2" width="22.0"/>
    <col customWidth="1" min="3" max="3" width="48.14"/>
    <col customWidth="1" min="4" max="4" width="42.0"/>
    <col customWidth="1" min="5" max="5" width="20.0"/>
    <col customWidth="1" min="6" max="6" width="22.0"/>
    <col customWidth="1" min="7" max="7" width="20.0"/>
    <col customWidth="1" min="8" max="8" width="24.0"/>
    <col customWidth="1" min="9" max="9" width="22.0"/>
    <col customWidth="1" min="10" max="10" width="41.14"/>
    <col customWidth="1" min="11" max="11" width="18.0"/>
    <col customWidth="1" min="12" max="12" width="20.0"/>
    <col customWidth="1" min="13" max="13" width="18.0"/>
    <col customWidth="1" min="14" max="14" width="14.0"/>
    <col customWidth="1" min="15" max="18" width="20.0"/>
    <col customWidth="1" min="19" max="19" width="34.43"/>
    <col customWidth="1" min="20" max="20" width="24.14"/>
    <col customWidth="1" min="21" max="21" width="30.86"/>
  </cols>
  <sheetData>
    <row r="1" ht="48.0" customHeight="1">
      <c r="A1" s="6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5"/>
      <c r="N1" s="10"/>
      <c r="O1" s="10"/>
      <c r="P1" s="10"/>
      <c r="Q1" s="10"/>
      <c r="R1" s="10"/>
      <c r="S1" s="12"/>
      <c r="T1" s="12"/>
      <c r="U1" s="12"/>
      <c r="V1" s="12"/>
      <c r="W1" s="12"/>
      <c r="X1" s="12"/>
      <c r="Y1" s="12"/>
      <c r="Z1" s="12"/>
    </row>
    <row r="2" ht="30.0" customHeight="1">
      <c r="A2" s="1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  <c r="N2" s="10"/>
      <c r="O2" s="10"/>
      <c r="P2" s="10"/>
      <c r="Q2" s="10"/>
      <c r="R2" s="10"/>
      <c r="S2" s="12"/>
      <c r="T2" s="12"/>
      <c r="U2" s="12"/>
      <c r="V2" s="12"/>
      <c r="W2" s="12"/>
      <c r="X2" s="12"/>
      <c r="Y2" s="12"/>
      <c r="Z2" s="12"/>
    </row>
    <row r="3" ht="30.0" customHeight="1">
      <c r="A3" s="24" t="str">
        <f>HYPERLINK("#'Resumen'!A1","◀ Volver al Resumen")</f>
        <v>◀ Volver al Resumen</v>
      </c>
      <c r="B3" s="3"/>
      <c r="C3" s="5"/>
      <c r="D3" s="35" t="str">
        <f>"Completos disp: "&amp;SUMPRODUCT((I6:I148="Disponible")*ISERROR(SEARCH("UF",C6:C148)))&amp;"  |  UF disp: "&amp;SUMPRODUCT((I6:I148="Disponible")*ISNUMBER(SEARCH("UF",C6:C148)))&amp;"  |  Vendidos: "&amp;COUNTIF(I6:I148,"Vendido")&amp;"  |  Permutadas: "&amp;COUNTIF(I6:I148,"Permutada")&amp;"  |  Fondeo: "&amp;COUNTIF(I6:I148,"Fondeo")</f>
        <v>Completos disp: 30  |  UF disp: 20  |  Vendidos: 0  |  Permutadas: 10  |  Fondeo: 0</v>
      </c>
      <c r="E3" s="3"/>
      <c r="F3" s="3"/>
      <c r="G3" s="3"/>
      <c r="H3" s="3"/>
      <c r="I3" s="3"/>
      <c r="J3" s="3"/>
      <c r="K3" s="3"/>
      <c r="L3" s="3"/>
      <c r="M3" s="5"/>
      <c r="N3" s="39"/>
      <c r="O3" s="39"/>
      <c r="P3" s="39"/>
      <c r="Q3" s="39"/>
      <c r="R3" s="39"/>
      <c r="S3" s="12"/>
      <c r="T3" s="12"/>
      <c r="U3" s="12"/>
      <c r="V3" s="12"/>
      <c r="W3" s="12"/>
      <c r="X3" s="12"/>
      <c r="Y3" s="12"/>
      <c r="Z3" s="12"/>
    </row>
    <row r="4" ht="51.75" customHeight="1">
      <c r="A4" s="49" t="s">
        <v>58</v>
      </c>
      <c r="B4" s="49" t="s">
        <v>63</v>
      </c>
      <c r="C4" s="49" t="s">
        <v>64</v>
      </c>
      <c r="D4" s="49" t="s">
        <v>66</v>
      </c>
      <c r="E4" s="49" t="s">
        <v>67</v>
      </c>
      <c r="F4" s="52" t="s">
        <v>68</v>
      </c>
      <c r="G4" s="49" t="s">
        <v>69</v>
      </c>
      <c r="H4" s="49" t="s">
        <v>71</v>
      </c>
      <c r="I4" s="54" t="s">
        <v>73</v>
      </c>
      <c r="J4" s="49" t="s">
        <v>75</v>
      </c>
      <c r="K4" s="49" t="s">
        <v>25</v>
      </c>
      <c r="L4" s="49" t="s">
        <v>77</v>
      </c>
      <c r="M4" s="49" t="s">
        <v>78</v>
      </c>
      <c r="N4" s="56" t="s">
        <v>80</v>
      </c>
      <c r="O4" s="49" t="s">
        <v>82</v>
      </c>
      <c r="P4" s="49" t="s">
        <v>84</v>
      </c>
      <c r="Q4" s="49" t="s">
        <v>86</v>
      </c>
      <c r="R4" s="49" t="s">
        <v>88</v>
      </c>
      <c r="S4" s="59" t="s">
        <v>89</v>
      </c>
      <c r="T4" s="61" t="s">
        <v>91</v>
      </c>
      <c r="U4" s="63"/>
      <c r="V4" s="12"/>
      <c r="W4" s="12"/>
      <c r="X4" s="12"/>
      <c r="Y4" s="12"/>
      <c r="Z4" s="12"/>
    </row>
    <row r="5" ht="25.5" customHeight="1">
      <c r="A5" s="66" t="s">
        <v>93</v>
      </c>
      <c r="B5" s="68"/>
      <c r="C5" s="70"/>
      <c r="D5" s="68"/>
      <c r="E5" s="71"/>
      <c r="F5" s="73"/>
      <c r="G5" s="76"/>
      <c r="H5" s="76"/>
      <c r="I5" s="76"/>
      <c r="J5" s="68"/>
      <c r="K5" s="68"/>
      <c r="L5" s="76"/>
      <c r="M5" s="68"/>
      <c r="N5" s="86"/>
      <c r="O5" s="88"/>
      <c r="P5" s="88"/>
      <c r="Q5" s="88"/>
      <c r="R5" s="88"/>
      <c r="S5" s="91"/>
      <c r="T5" s="91"/>
      <c r="U5" s="92"/>
      <c r="V5" s="94"/>
      <c r="W5" s="94"/>
      <c r="X5" s="94"/>
      <c r="Y5" s="94"/>
      <c r="Z5" s="94"/>
    </row>
    <row r="6" ht="25.5" customHeight="1">
      <c r="A6" s="96" t="s">
        <v>104</v>
      </c>
      <c r="B6" s="96" t="s">
        <v>105</v>
      </c>
      <c r="C6" s="99" t="s">
        <v>106</v>
      </c>
      <c r="D6" s="101" t="s">
        <v>107</v>
      </c>
      <c r="E6" s="103">
        <v>2699.72</v>
      </c>
      <c r="F6" s="104"/>
      <c r="G6" s="105"/>
      <c r="H6" s="105" t="str">
        <f>IF(G6="","",G6*Resumen!$G$6)</f>
        <v/>
      </c>
      <c r="I6" s="105" t="str">
        <f>IF(H6="","",H6*Resumen!$G$6)</f>
        <v/>
      </c>
      <c r="J6" s="110"/>
      <c r="K6" s="112"/>
      <c r="L6" s="114">
        <v>0.0</v>
      </c>
      <c r="M6" s="101" t="s">
        <v>111</v>
      </c>
      <c r="N6" s="115" t="s">
        <v>113</v>
      </c>
      <c r="O6" s="105" t="str">
        <f>IF(G6="","",G6*Resumen!$S$11)</f>
        <v/>
      </c>
      <c r="P6" s="105" t="str">
        <f>IF(G6="","",(G6-G6*Resumen!$S$11)/Resumen!$S$12)</f>
        <v/>
      </c>
      <c r="Q6" s="105" t="str">
        <f>IF(G6="","",((G6-G6*Resumen!$S$11)/Resumen!$S$12)*((1+Resumen!$S$13)*((1+Resumen!$S$13)^Resumen!$S$12-1)/Resumen!$S$13))</f>
        <v/>
      </c>
      <c r="R6" s="105" t="str">
        <f>IF(G6="","",O6+Q6)</f>
        <v/>
      </c>
      <c r="S6" s="123">
        <v>6.0</v>
      </c>
      <c r="T6" s="125" t="s">
        <v>122</v>
      </c>
      <c r="U6" s="126">
        <v>36.6667</v>
      </c>
      <c r="V6" s="12"/>
      <c r="W6" s="12"/>
      <c r="X6" s="12"/>
      <c r="Y6" s="12"/>
      <c r="Z6" s="12"/>
    </row>
    <row r="7" ht="25.5" customHeight="1">
      <c r="A7" s="130" t="s">
        <v>104</v>
      </c>
      <c r="B7" s="130" t="s">
        <v>105</v>
      </c>
      <c r="C7" s="130" t="s">
        <v>123</v>
      </c>
      <c r="D7" s="135" t="s">
        <v>124</v>
      </c>
      <c r="E7" s="136"/>
      <c r="F7" s="137"/>
      <c r="G7" s="138"/>
      <c r="H7" s="139"/>
      <c r="I7" s="145" t="s">
        <v>128</v>
      </c>
      <c r="J7" s="139" t="s">
        <v>129</v>
      </c>
      <c r="K7" s="139"/>
      <c r="L7" s="139">
        <v>0.0</v>
      </c>
      <c r="M7" s="139" t="s">
        <v>111</v>
      </c>
      <c r="N7" s="115" t="s">
        <v>113</v>
      </c>
      <c r="O7" s="147" t="s">
        <v>130</v>
      </c>
      <c r="P7" s="147" t="s">
        <v>130</v>
      </c>
      <c r="Q7" s="147" t="s">
        <v>130</v>
      </c>
      <c r="R7" s="147" t="s">
        <v>130</v>
      </c>
      <c r="S7" s="149">
        <v>6.0</v>
      </c>
      <c r="T7" s="150" t="s">
        <v>122</v>
      </c>
      <c r="U7" s="153">
        <v>36.6667</v>
      </c>
      <c r="V7" s="149"/>
      <c r="W7" s="149"/>
      <c r="X7" s="149"/>
      <c r="Y7" s="149"/>
      <c r="Z7" s="149"/>
    </row>
    <row r="8" ht="25.5" customHeight="1">
      <c r="A8" s="156" t="s">
        <v>104</v>
      </c>
      <c r="B8" s="156" t="s">
        <v>105</v>
      </c>
      <c r="C8" s="156" t="s">
        <v>123</v>
      </c>
      <c r="D8" s="158" t="s">
        <v>135</v>
      </c>
      <c r="E8" s="159">
        <v>900.0</v>
      </c>
      <c r="F8" s="160">
        <v>900.0</v>
      </c>
      <c r="G8" s="161">
        <v>20000.0</v>
      </c>
      <c r="H8" s="166">
        <f>IF(G8="","",G8*Resumen!$G$6)</f>
        <v>30300000</v>
      </c>
      <c r="I8" s="167" t="s">
        <v>136</v>
      </c>
      <c r="J8" s="166"/>
      <c r="K8" s="166"/>
      <c r="L8" s="166">
        <v>0.0</v>
      </c>
      <c r="M8" s="166" t="s">
        <v>111</v>
      </c>
      <c r="N8" s="115" t="s">
        <v>113</v>
      </c>
      <c r="O8" s="114">
        <f>IF(G8="","",G8*Resumen!$S$11)</f>
        <v>10000</v>
      </c>
      <c r="P8" s="114">
        <f>IF(G8="","",(G8-G8*Resumen!$S$11)/Resumen!$S$12)</f>
        <v>833.3333333</v>
      </c>
      <c r="Q8" s="114">
        <f>IF(G8="","",((G8-G8*Resumen!$S$11)/Resumen!$S$12)*((1+Resumen!$S$13)*((1+Resumen!$S$13)^Resumen!$S$12-1)/Resumen!$S$13))</f>
        <v>12181.49204</v>
      </c>
      <c r="R8" s="114">
        <f>IF(G8="","",O8+Q8)</f>
        <v>22181.49204</v>
      </c>
      <c r="S8" s="12"/>
      <c r="T8" s="169" t="s">
        <v>138</v>
      </c>
      <c r="U8" s="170">
        <v>33.3333</v>
      </c>
      <c r="V8" s="12"/>
      <c r="W8" s="12"/>
      <c r="X8" s="12"/>
      <c r="Y8" s="12"/>
      <c r="Z8" s="12"/>
    </row>
    <row r="9" ht="25.5" customHeight="1">
      <c r="A9" s="156" t="s">
        <v>104</v>
      </c>
      <c r="B9" s="156" t="s">
        <v>105</v>
      </c>
      <c r="C9" s="156" t="s">
        <v>123</v>
      </c>
      <c r="D9" s="158" t="s">
        <v>141</v>
      </c>
      <c r="E9" s="159">
        <v>900.0</v>
      </c>
      <c r="F9" s="160">
        <v>900.0</v>
      </c>
      <c r="G9" s="173">
        <f>30000/F9</f>
        <v>33.33333333</v>
      </c>
      <c r="H9" s="166">
        <f>IF(G9="","",G9*Resumen!$G$6)</f>
        <v>50500</v>
      </c>
      <c r="I9" s="167" t="s">
        <v>136</v>
      </c>
      <c r="J9" s="166"/>
      <c r="K9" s="166"/>
      <c r="L9" s="166" t="s">
        <v>143</v>
      </c>
      <c r="M9" s="166" t="s">
        <v>143</v>
      </c>
      <c r="N9" s="115" t="s">
        <v>113</v>
      </c>
      <c r="O9" s="114"/>
      <c r="P9" s="114"/>
      <c r="Q9" s="114"/>
      <c r="R9" s="114"/>
      <c r="S9" s="12"/>
      <c r="T9" s="169"/>
      <c r="U9" s="170"/>
      <c r="V9" s="12"/>
      <c r="W9" s="12"/>
      <c r="X9" s="12"/>
      <c r="Y9" s="12"/>
      <c r="Z9" s="12"/>
    </row>
    <row r="10" ht="25.5" customHeight="1">
      <c r="A10" s="156" t="s">
        <v>104</v>
      </c>
      <c r="B10" s="156" t="s">
        <v>105</v>
      </c>
      <c r="C10" s="156" t="s">
        <v>144</v>
      </c>
      <c r="D10" s="158" t="s">
        <v>145</v>
      </c>
      <c r="E10" s="159"/>
      <c r="F10" s="160">
        <v>450.0</v>
      </c>
      <c r="G10" s="161">
        <f t="shared" ref="G10:G11" si="1">ROUND(F10*$U$6,0)</f>
        <v>16500</v>
      </c>
      <c r="H10" s="166">
        <f>IF(G10="","",G10*Resumen!$G$6)</f>
        <v>24997500</v>
      </c>
      <c r="I10" s="167" t="s">
        <v>136</v>
      </c>
      <c r="J10" s="166"/>
      <c r="K10" s="166"/>
      <c r="L10" s="166" t="s">
        <v>143</v>
      </c>
      <c r="M10" s="166" t="s">
        <v>143</v>
      </c>
      <c r="N10" s="115" t="s">
        <v>113</v>
      </c>
      <c r="O10" s="114">
        <f>IF(G10="","",G10*Resumen!$S$11)</f>
        <v>8250</v>
      </c>
      <c r="P10" s="114">
        <f>IF(G10="","",(G10-G10*Resumen!$S$11)/Resumen!$S$12)</f>
        <v>687.5</v>
      </c>
      <c r="Q10" s="114">
        <f>IF(G10="","",((G10-G10*Resumen!$S$11)/Resumen!$S$12)*((1+Resumen!$S$13)*((1+Resumen!$S$13)^Resumen!$S$12-1)/Resumen!$S$13))</f>
        <v>10049.73093</v>
      </c>
      <c r="R10" s="114">
        <f t="shared" ref="R10:R14" si="2">IF(G10="","",O10+Q10)</f>
        <v>18299.73093</v>
      </c>
      <c r="S10" s="12"/>
      <c r="T10" s="169" t="s">
        <v>149</v>
      </c>
      <c r="U10" s="170">
        <v>25.0</v>
      </c>
      <c r="V10" s="12"/>
      <c r="W10" s="12"/>
      <c r="X10" s="12"/>
      <c r="Y10" s="12"/>
      <c r="Z10" s="12"/>
    </row>
    <row r="11" ht="25.5" customHeight="1">
      <c r="A11" s="156" t="s">
        <v>104</v>
      </c>
      <c r="B11" s="156" t="s">
        <v>105</v>
      </c>
      <c r="C11" s="156" t="s">
        <v>150</v>
      </c>
      <c r="D11" s="158" t="s">
        <v>151</v>
      </c>
      <c r="E11" s="182"/>
      <c r="F11" s="160">
        <v>450.0</v>
      </c>
      <c r="G11" s="161">
        <f t="shared" si="1"/>
        <v>16500</v>
      </c>
      <c r="H11" s="166">
        <f>IF(G11="","",G11*Resumen!$G$6)</f>
        <v>24997500</v>
      </c>
      <c r="I11" s="167" t="s">
        <v>136</v>
      </c>
      <c r="J11" s="166"/>
      <c r="K11" s="166"/>
      <c r="L11" s="166" t="s">
        <v>143</v>
      </c>
      <c r="M11" s="166" t="s">
        <v>143</v>
      </c>
      <c r="N11" s="115" t="s">
        <v>113</v>
      </c>
      <c r="O11" s="114">
        <f>IF(G11="","",G11*Resumen!$S$11)</f>
        <v>8250</v>
      </c>
      <c r="P11" s="114">
        <f>IF(G11="","",(G11-G11*Resumen!$S$11)/Resumen!$S$12)</f>
        <v>687.5</v>
      </c>
      <c r="Q11" s="114">
        <f>IF(G11="","",((G11-G11*Resumen!$S$11)/Resumen!$S$12)*((1+Resumen!$S$13)*((1+Resumen!$S$13)^Resumen!$S$12-1)/Resumen!$S$13))</f>
        <v>10049.73093</v>
      </c>
      <c r="R11" s="114">
        <f t="shared" si="2"/>
        <v>18299.73093</v>
      </c>
      <c r="S11" s="12"/>
      <c r="T11" s="188" t="s">
        <v>153</v>
      </c>
      <c r="U11" s="189"/>
      <c r="V11" s="12"/>
      <c r="W11" s="12"/>
      <c r="X11" s="12"/>
      <c r="Y11" s="12"/>
      <c r="Z11" s="12"/>
    </row>
    <row r="12" ht="25.5" customHeight="1">
      <c r="A12" s="96" t="s">
        <v>104</v>
      </c>
      <c r="B12" s="96" t="s">
        <v>154</v>
      </c>
      <c r="C12" s="96" t="s">
        <v>155</v>
      </c>
      <c r="D12" s="101" t="s">
        <v>156</v>
      </c>
      <c r="E12" s="190">
        <v>900.0</v>
      </c>
      <c r="F12" s="191">
        <v>900.0</v>
      </c>
      <c r="G12" s="193">
        <f>F12*33</f>
        <v>29700</v>
      </c>
      <c r="H12" s="114">
        <f>IF(G12="","",G12*Resumen!$G$6)</f>
        <v>44995500</v>
      </c>
      <c r="I12" s="194" t="s">
        <v>158</v>
      </c>
      <c r="J12" s="112"/>
      <c r="K12" s="112"/>
      <c r="L12" s="114">
        <v>0.0</v>
      </c>
      <c r="M12" s="101" t="s">
        <v>111</v>
      </c>
      <c r="N12" s="115" t="s">
        <v>113</v>
      </c>
      <c r="O12" s="114">
        <f>IF(G12="","",G12*Resumen!$S$11)</f>
        <v>14850</v>
      </c>
      <c r="P12" s="114">
        <f>IF(G12="","",(G12-G12*Resumen!$S$11)/Resumen!$S$12)</f>
        <v>1237.5</v>
      </c>
      <c r="Q12" s="114">
        <f>IF(G12="","",((G12-G12*Resumen!$S$11)/Resumen!$S$12)*((1+Resumen!$S$13)*((1+Resumen!$S$13)^Resumen!$S$12-1)/Resumen!$S$13))</f>
        <v>18089.51568</v>
      </c>
      <c r="R12" s="114">
        <f t="shared" si="2"/>
        <v>32939.51568</v>
      </c>
      <c r="S12" s="123">
        <v>2.0</v>
      </c>
      <c r="T12" s="197"/>
      <c r="U12" s="198"/>
      <c r="V12" s="12"/>
      <c r="W12" s="12"/>
      <c r="X12" s="12"/>
      <c r="Y12" s="12"/>
      <c r="Z12" s="12"/>
    </row>
    <row r="13" ht="25.5" customHeight="1">
      <c r="A13" s="96" t="s">
        <v>104</v>
      </c>
      <c r="B13" s="96" t="s">
        <v>164</v>
      </c>
      <c r="C13" s="96" t="s">
        <v>155</v>
      </c>
      <c r="D13" s="101" t="s">
        <v>165</v>
      </c>
      <c r="E13" s="190">
        <v>1280.12</v>
      </c>
      <c r="F13" s="191">
        <v>1280.12</v>
      </c>
      <c r="G13" s="193">
        <f>F13*30</f>
        <v>38403.6</v>
      </c>
      <c r="H13" s="114">
        <f>IF(G13="","",G13*Resumen!$G$6)</f>
        <v>58181454</v>
      </c>
      <c r="I13" s="194" t="s">
        <v>158</v>
      </c>
      <c r="J13" s="112"/>
      <c r="K13" s="112"/>
      <c r="L13" s="114">
        <v>0.0</v>
      </c>
      <c r="M13" s="101" t="s">
        <v>111</v>
      </c>
      <c r="N13" s="115" t="s">
        <v>113</v>
      </c>
      <c r="O13" s="114">
        <f>IF(G13="","",G13*Resumen!$S$11)</f>
        <v>19201.8</v>
      </c>
      <c r="P13" s="114">
        <f>IF(G13="","",(G13-G13*Resumen!$S$11)/Resumen!$S$12)</f>
        <v>1600.15</v>
      </c>
      <c r="Q13" s="114">
        <f>IF(G13="","",((G13-G13*Resumen!$S$11)/Resumen!$S$12)*((1+Resumen!$S$13)*((1+Resumen!$S$13)^Resumen!$S$12-1)/Resumen!$S$13))</f>
        <v>23390.65739</v>
      </c>
      <c r="R13" s="114">
        <f t="shared" si="2"/>
        <v>42592.45739</v>
      </c>
      <c r="S13" s="123">
        <v>2.0</v>
      </c>
      <c r="T13" s="202"/>
      <c r="U13" s="203"/>
      <c r="V13" s="12"/>
      <c r="W13" s="12"/>
      <c r="X13" s="12"/>
      <c r="Y13" s="12"/>
      <c r="Z13" s="12"/>
    </row>
    <row r="14" ht="25.5" customHeight="1">
      <c r="A14" s="130" t="s">
        <v>104</v>
      </c>
      <c r="B14" s="130" t="s">
        <v>167</v>
      </c>
      <c r="C14" s="205" t="s">
        <v>155</v>
      </c>
      <c r="D14" s="206" t="s">
        <v>165</v>
      </c>
      <c r="E14" s="208"/>
      <c r="F14" s="137"/>
      <c r="G14" s="138"/>
      <c r="H14" s="139" t="str">
        <f>IF(G14="","",G14*Resumen!$G$6)</f>
        <v/>
      </c>
      <c r="I14" s="210" t="s">
        <v>128</v>
      </c>
      <c r="J14" s="211" t="s">
        <v>171</v>
      </c>
      <c r="K14" s="213"/>
      <c r="L14" s="214">
        <v>0.0</v>
      </c>
      <c r="M14" s="135" t="s">
        <v>111</v>
      </c>
      <c r="N14" s="115" t="s">
        <v>113</v>
      </c>
      <c r="O14" s="214" t="str">
        <f>IF(G14="","",G14*Resumen!$S$11)</f>
        <v/>
      </c>
      <c r="P14" s="214" t="str">
        <f>IF(G14="","",(G14-G14*Resumen!$S$11)/Resumen!$S$12)</f>
        <v/>
      </c>
      <c r="Q14" s="214" t="str">
        <f>IF(G14="","",((G14-G14*Resumen!$S$11)/Resumen!$S$12)*((1+Resumen!$S$13)*((1+Resumen!$S$13)^Resumen!$S$12-1)/Resumen!$S$13))</f>
        <v/>
      </c>
      <c r="R14" s="214" t="str">
        <f t="shared" si="2"/>
        <v/>
      </c>
      <c r="S14" s="153">
        <v>2.0</v>
      </c>
      <c r="T14" s="218"/>
      <c r="U14" s="149"/>
      <c r="V14" s="149"/>
      <c r="W14" s="149"/>
      <c r="X14" s="149"/>
      <c r="Y14" s="149"/>
      <c r="Z14" s="149"/>
    </row>
    <row r="15" ht="25.5" customHeight="1" outlineLevel="1">
      <c r="A15" s="219" t="s">
        <v>104</v>
      </c>
      <c r="B15" s="219" t="s">
        <v>178</v>
      </c>
      <c r="C15" s="220" t="s">
        <v>179</v>
      </c>
      <c r="D15" s="222" t="s">
        <v>44</v>
      </c>
      <c r="E15" s="224">
        <v>940.26</v>
      </c>
      <c r="F15" s="226">
        <v>900.0</v>
      </c>
      <c r="G15" s="227">
        <v>28000.0</v>
      </c>
      <c r="H15" s="229">
        <f>IF(G15="","",G15*Resumen!$G$6)</f>
        <v>42420000</v>
      </c>
      <c r="I15" s="167" t="s">
        <v>180</v>
      </c>
      <c r="J15" s="222" t="s">
        <v>39</v>
      </c>
      <c r="K15" s="222" t="s">
        <v>57</v>
      </c>
      <c r="L15" s="222">
        <v>0.0</v>
      </c>
      <c r="M15" s="232" t="s">
        <v>143</v>
      </c>
      <c r="N15" s="115" t="s">
        <v>113</v>
      </c>
      <c r="O15" s="222" t="s">
        <v>143</v>
      </c>
      <c r="P15" s="222" t="s">
        <v>143</v>
      </c>
      <c r="Q15" s="222" t="s">
        <v>143</v>
      </c>
      <c r="R15" s="222" t="s">
        <v>143</v>
      </c>
      <c r="S15" s="233">
        <v>2.0</v>
      </c>
      <c r="T15" s="234"/>
      <c r="U15" s="234"/>
      <c r="V15" s="234"/>
      <c r="W15" s="234"/>
      <c r="X15" s="234"/>
      <c r="Y15" s="234"/>
      <c r="Z15" s="234"/>
    </row>
    <row r="16" ht="25.5" customHeight="1" outlineLevel="1">
      <c r="A16" s="219" t="s">
        <v>104</v>
      </c>
      <c r="B16" s="219" t="s">
        <v>181</v>
      </c>
      <c r="C16" s="220" t="s">
        <v>179</v>
      </c>
      <c r="D16" s="222" t="s">
        <v>95</v>
      </c>
      <c r="E16" s="224">
        <v>934.32</v>
      </c>
      <c r="F16" s="226">
        <v>900.0</v>
      </c>
      <c r="G16" s="227">
        <v>28000.0</v>
      </c>
      <c r="H16" s="229">
        <f>IF(G16="","",G16*Resumen!$G$6)</f>
        <v>42420000</v>
      </c>
      <c r="I16" s="237" t="s">
        <v>180</v>
      </c>
      <c r="J16" s="222" t="s">
        <v>92</v>
      </c>
      <c r="K16" s="222" t="s">
        <v>99</v>
      </c>
      <c r="L16" s="222">
        <v>0.0</v>
      </c>
      <c r="M16" s="232" t="s">
        <v>183</v>
      </c>
      <c r="N16" s="115" t="s">
        <v>113</v>
      </c>
      <c r="O16" s="222">
        <f>IF(G16="","",G16*Resumen!$S$11)</f>
        <v>14000</v>
      </c>
      <c r="P16" s="222">
        <f>IF(G16="","",(G16-G16*Resumen!$S$11)/Resumen!$S$12)</f>
        <v>1166.666667</v>
      </c>
      <c r="Q16" s="222">
        <f>IF(G16="","",((G16-G16*Resumen!$S$11)/Resumen!$S$12)*((1+Resumen!$S$13)*((1+Resumen!$S$13)^Resumen!$S$12-1)/Resumen!$S$13))</f>
        <v>17054.08886</v>
      </c>
      <c r="R16" s="222">
        <f t="shared" ref="R16:R32" si="3">IF(G16="","",O16+Q16)</f>
        <v>31054.08886</v>
      </c>
      <c r="S16" s="233">
        <v>2.0</v>
      </c>
      <c r="T16" s="234"/>
      <c r="U16" s="234"/>
      <c r="V16" s="234"/>
      <c r="W16" s="234"/>
      <c r="X16" s="234"/>
      <c r="Y16" s="234"/>
      <c r="Z16" s="234"/>
    </row>
    <row r="17" ht="25.5" customHeight="1" outlineLevel="1">
      <c r="A17" s="219" t="s">
        <v>104</v>
      </c>
      <c r="B17" s="219" t="s">
        <v>184</v>
      </c>
      <c r="C17" s="220" t="s">
        <v>179</v>
      </c>
      <c r="D17" s="222" t="s">
        <v>185</v>
      </c>
      <c r="E17" s="224"/>
      <c r="F17" s="226"/>
      <c r="G17" s="227"/>
      <c r="H17" s="229" t="str">
        <f>IF(G17="","",G17*Resumen!$G$6)</f>
        <v/>
      </c>
      <c r="I17" s="237" t="s">
        <v>186</v>
      </c>
      <c r="J17" s="222"/>
      <c r="K17" s="222"/>
      <c r="L17" s="222"/>
      <c r="M17" s="232"/>
      <c r="N17" s="115" t="s">
        <v>113</v>
      </c>
      <c r="O17" s="222" t="str">
        <f>IF(G17="","",G17*Resumen!$S$11)</f>
        <v/>
      </c>
      <c r="P17" s="222" t="str">
        <f>IF(G17="","",(G17-G17*Resumen!$S$11)/Resumen!$S$12)</f>
        <v/>
      </c>
      <c r="Q17" s="222" t="str">
        <f>IF(G17="","",((G17-G17*Resumen!$S$11)/Resumen!$S$12)*((1+Resumen!$S$13)*((1+Resumen!$S$13)^Resumen!$S$12-1)/Resumen!$S$13))</f>
        <v/>
      </c>
      <c r="R17" s="222" t="str">
        <f t="shared" si="3"/>
        <v/>
      </c>
      <c r="S17" s="233">
        <v>2.0</v>
      </c>
      <c r="T17" s="234"/>
      <c r="U17" s="234"/>
      <c r="V17" s="234"/>
      <c r="W17" s="234"/>
      <c r="X17" s="234"/>
      <c r="Y17" s="234"/>
      <c r="Z17" s="234"/>
    </row>
    <row r="18" ht="25.5" customHeight="1" outlineLevel="1">
      <c r="A18" s="219" t="s">
        <v>104</v>
      </c>
      <c r="B18" s="219" t="s">
        <v>184</v>
      </c>
      <c r="C18" s="219" t="s">
        <v>144</v>
      </c>
      <c r="D18" s="219" t="s">
        <v>109</v>
      </c>
      <c r="E18" s="219" t="s">
        <v>143</v>
      </c>
      <c r="F18" s="226">
        <v>465.0</v>
      </c>
      <c r="G18" s="219">
        <v>14000.0</v>
      </c>
      <c r="H18" s="219">
        <f>IF(G18="","",G18*Resumen!$G$6)</f>
        <v>21210000</v>
      </c>
      <c r="I18" s="219" t="s">
        <v>186</v>
      </c>
      <c r="J18" s="219" t="s">
        <v>108</v>
      </c>
      <c r="K18" s="219" t="s">
        <v>110</v>
      </c>
      <c r="L18" s="219">
        <v>0.0</v>
      </c>
      <c r="M18" s="219" t="s">
        <v>183</v>
      </c>
      <c r="N18" s="219" t="s">
        <v>113</v>
      </c>
      <c r="O18" s="219">
        <f>IF(G18="","",G18*Resumen!$S$11)</f>
        <v>7000</v>
      </c>
      <c r="P18" s="219">
        <f>IF(G18="","",(G18-G18*Resumen!$S$11)/Resumen!$S$12)</f>
        <v>583.3333333</v>
      </c>
      <c r="Q18" s="219">
        <f>IF(G18="","",((G18-G18*Resumen!$S$11)/Resumen!$S$12)*((1+Resumen!$S$13)*((1+Resumen!$S$13)^Resumen!$S$12-1)/Resumen!$S$13))</f>
        <v>8527.044428</v>
      </c>
      <c r="R18" s="219">
        <f t="shared" si="3"/>
        <v>15527.04443</v>
      </c>
      <c r="S18" s="219"/>
      <c r="T18" s="219"/>
      <c r="U18" s="219"/>
      <c r="V18" s="219"/>
      <c r="W18" s="219"/>
      <c r="X18" s="219"/>
      <c r="Y18" s="219"/>
      <c r="Z18" s="219"/>
    </row>
    <row r="19" ht="25.5" customHeight="1" outlineLevel="1">
      <c r="A19" s="219" t="s">
        <v>104</v>
      </c>
      <c r="B19" s="219" t="s">
        <v>184</v>
      </c>
      <c r="C19" s="219" t="s">
        <v>150</v>
      </c>
      <c r="D19" s="219" t="s">
        <v>119</v>
      </c>
      <c r="E19" s="219" t="s">
        <v>143</v>
      </c>
      <c r="F19" s="226">
        <v>465.0</v>
      </c>
      <c r="G19" s="219">
        <v>16000.0</v>
      </c>
      <c r="H19" s="219">
        <f>IF(G19="","",G19*Resumen!$G$6)</f>
        <v>24240000</v>
      </c>
      <c r="I19" s="219" t="s">
        <v>186</v>
      </c>
      <c r="J19" s="219" t="s">
        <v>117</v>
      </c>
      <c r="K19" s="219" t="s">
        <v>121</v>
      </c>
      <c r="L19" s="219">
        <v>7760.0</v>
      </c>
      <c r="M19" s="219" t="s">
        <v>183</v>
      </c>
      <c r="N19" s="219" t="s">
        <v>113</v>
      </c>
      <c r="O19" s="219">
        <f>IF(G19="","",G19*Resumen!$S$11)</f>
        <v>8000</v>
      </c>
      <c r="P19" s="219">
        <f>IF(G19="","",(G19-G19*Resumen!$S$11)/Resumen!$S$12)</f>
        <v>666.6666667</v>
      </c>
      <c r="Q19" s="219">
        <f>IF(G19="","",((G19-G19*Resumen!$S$11)/Resumen!$S$12)*((1+Resumen!$S$13)*((1+Resumen!$S$13)^Resumen!$S$12-1)/Resumen!$S$13))</f>
        <v>9745.193632</v>
      </c>
      <c r="R19" s="219">
        <f t="shared" si="3"/>
        <v>17745.19363</v>
      </c>
      <c r="S19" s="219"/>
      <c r="T19" s="219"/>
      <c r="U19" s="219"/>
      <c r="V19" s="219"/>
      <c r="W19" s="219"/>
      <c r="X19" s="219"/>
      <c r="Y19" s="219"/>
      <c r="Z19" s="219"/>
    </row>
    <row r="20" ht="25.5" customHeight="1">
      <c r="A20" s="96" t="s">
        <v>104</v>
      </c>
      <c r="B20" s="96" t="s">
        <v>187</v>
      </c>
      <c r="C20" s="238" t="s">
        <v>106</v>
      </c>
      <c r="D20" s="101" t="s">
        <v>188</v>
      </c>
      <c r="E20" s="190">
        <v>972.8</v>
      </c>
      <c r="F20" s="104"/>
      <c r="G20" s="105"/>
      <c r="H20" s="105" t="str">
        <f>IF(G20="","",G20*Resumen!$G$6)</f>
        <v/>
      </c>
      <c r="I20" s="194" t="s">
        <v>158</v>
      </c>
      <c r="J20" s="112"/>
      <c r="K20" s="112"/>
      <c r="L20" s="114">
        <v>0.0</v>
      </c>
      <c r="M20" s="101" t="s">
        <v>111</v>
      </c>
      <c r="N20" s="115" t="s">
        <v>113</v>
      </c>
      <c r="O20" s="105" t="str">
        <f>IF(G20="","",G20*Resumen!$S$11)</f>
        <v/>
      </c>
      <c r="P20" s="105" t="str">
        <f>IF(G20="","",(G20-G20*Resumen!$S$11)/Resumen!$S$12)</f>
        <v/>
      </c>
      <c r="Q20" s="105" t="str">
        <f>IF(G20="","",((G20-G20*Resumen!$S$11)/Resumen!$S$12)*((1+Resumen!$S$13)*((1+Resumen!$S$13)^Resumen!$S$12-1)/Resumen!$S$13))</f>
        <v/>
      </c>
      <c r="R20" s="105" t="str">
        <f t="shared" si="3"/>
        <v/>
      </c>
      <c r="S20" s="123">
        <v>2.0</v>
      </c>
      <c r="T20" s="12"/>
      <c r="U20" s="12"/>
      <c r="V20" s="12"/>
      <c r="W20" s="12"/>
      <c r="X20" s="12"/>
      <c r="Y20" s="12"/>
      <c r="Z20" s="12"/>
    </row>
    <row r="21" ht="25.5" customHeight="1">
      <c r="A21" s="219" t="s">
        <v>104</v>
      </c>
      <c r="B21" s="219" t="s">
        <v>189</v>
      </c>
      <c r="C21" s="239" t="s">
        <v>144</v>
      </c>
      <c r="D21" s="222" t="s">
        <v>190</v>
      </c>
      <c r="E21" s="224"/>
      <c r="F21" s="226">
        <v>492.5</v>
      </c>
      <c r="G21" s="227">
        <v>16000.0</v>
      </c>
      <c r="H21" s="229">
        <f>IF(G21="","",G21*Resumen!$G$6)</f>
        <v>24240000</v>
      </c>
      <c r="I21" s="237" t="s">
        <v>186</v>
      </c>
      <c r="J21" s="240" t="s">
        <v>191</v>
      </c>
      <c r="K21" s="222"/>
      <c r="L21" s="222">
        <v>0.0</v>
      </c>
      <c r="M21" s="232" t="s">
        <v>111</v>
      </c>
      <c r="N21" s="115" t="s">
        <v>113</v>
      </c>
      <c r="O21" s="222">
        <f>IF(G21="","",G21*Resumen!$S$11)</f>
        <v>8000</v>
      </c>
      <c r="P21" s="222">
        <f>IF(G21="","",(G21-G21*Resumen!$S$11)/Resumen!$S$12)</f>
        <v>666.6666667</v>
      </c>
      <c r="Q21" s="222">
        <f>IF(G21="","",((G21-G21*Resumen!$S$11)/Resumen!$S$12)*((1+Resumen!$S$13)*((1+Resumen!$S$13)^Resumen!$S$12-1)/Resumen!$S$13))</f>
        <v>9745.193632</v>
      </c>
      <c r="R21" s="222">
        <f t="shared" si="3"/>
        <v>17745.19363</v>
      </c>
      <c r="S21" s="233"/>
      <c r="T21" s="234"/>
      <c r="U21" s="234"/>
      <c r="V21" s="234"/>
      <c r="W21" s="234"/>
      <c r="X21" s="234"/>
      <c r="Y21" s="234"/>
      <c r="Z21" s="234"/>
    </row>
    <row r="22" ht="25.5" customHeight="1">
      <c r="A22" s="219" t="s">
        <v>104</v>
      </c>
      <c r="B22" s="219" t="s">
        <v>189</v>
      </c>
      <c r="C22" s="239" t="s">
        <v>150</v>
      </c>
      <c r="D22" s="222" t="s">
        <v>126</v>
      </c>
      <c r="E22" s="224"/>
      <c r="F22" s="226">
        <v>492.5</v>
      </c>
      <c r="G22" s="227">
        <v>16000.0</v>
      </c>
      <c r="H22" s="229">
        <f>IF(G22="","",G22*Resumen!$G$6)</f>
        <v>24240000</v>
      </c>
      <c r="I22" s="237" t="s">
        <v>186</v>
      </c>
      <c r="J22" s="222" t="s">
        <v>192</v>
      </c>
      <c r="K22" s="222" t="s">
        <v>127</v>
      </c>
      <c r="L22" s="222">
        <v>0.0</v>
      </c>
      <c r="M22" s="232" t="s">
        <v>183</v>
      </c>
      <c r="N22" s="115" t="s">
        <v>113</v>
      </c>
      <c r="O22" s="222">
        <f>IF(G22="","",G22*Resumen!$S$11)</f>
        <v>8000</v>
      </c>
      <c r="P22" s="222">
        <f>IF(G22="","",(G22-G22*Resumen!$S$11)/Resumen!$S$12)</f>
        <v>666.6666667</v>
      </c>
      <c r="Q22" s="222">
        <f>IF(G22="","",((G22-G22*Resumen!$S$11)/Resumen!$S$12)*((1+Resumen!$S$13)*((1+Resumen!$S$13)^Resumen!$S$12-1)/Resumen!$S$13))</f>
        <v>9745.193632</v>
      </c>
      <c r="R22" s="222">
        <f t="shared" si="3"/>
        <v>17745.19363</v>
      </c>
      <c r="S22" s="233"/>
      <c r="T22" s="234"/>
      <c r="U22" s="234"/>
      <c r="V22" s="234"/>
      <c r="W22" s="234"/>
      <c r="X22" s="234"/>
      <c r="Y22" s="234"/>
      <c r="Z22" s="234"/>
    </row>
    <row r="23" ht="25.5" customHeight="1">
      <c r="A23" s="96" t="s">
        <v>104</v>
      </c>
      <c r="B23" s="96" t="s">
        <v>187</v>
      </c>
      <c r="C23" s="238" t="s">
        <v>106</v>
      </c>
      <c r="D23" s="101" t="s">
        <v>188</v>
      </c>
      <c r="E23" s="190">
        <v>972.8</v>
      </c>
      <c r="F23" s="104"/>
      <c r="G23" s="105"/>
      <c r="H23" s="105" t="str">
        <f>IF(G23="","",G23*Resumen!$G$6)</f>
        <v/>
      </c>
      <c r="I23" s="194" t="s">
        <v>158</v>
      </c>
      <c r="J23" s="112"/>
      <c r="K23" s="112"/>
      <c r="L23" s="114">
        <v>0.0</v>
      </c>
      <c r="M23" s="101" t="s">
        <v>111</v>
      </c>
      <c r="N23" s="115" t="s">
        <v>113</v>
      </c>
      <c r="O23" s="105" t="str">
        <f>IF(G23="","",G23*Resumen!$S$11)</f>
        <v/>
      </c>
      <c r="P23" s="105" t="str">
        <f>IF(G23="","",(G23-G23*Resumen!$S$11)/Resumen!$S$12)</f>
        <v/>
      </c>
      <c r="Q23" s="105" t="str">
        <f>IF(G23="","",((G23-G23*Resumen!$S$11)/Resumen!$S$12)*((1+Resumen!$S$13)*((1+Resumen!$S$13)^Resumen!$S$12-1)/Resumen!$S$13))</f>
        <v/>
      </c>
      <c r="R23" s="105" t="str">
        <f t="shared" si="3"/>
        <v/>
      </c>
      <c r="S23" s="123">
        <v>2.0</v>
      </c>
      <c r="T23" s="12"/>
      <c r="U23" s="12"/>
      <c r="V23" s="12"/>
      <c r="W23" s="12"/>
      <c r="X23" s="12"/>
      <c r="Y23" s="12"/>
      <c r="Z23" s="12"/>
    </row>
    <row r="24" ht="25.5" customHeight="1">
      <c r="A24" s="244" t="s">
        <v>104</v>
      </c>
      <c r="B24" s="244" t="s">
        <v>187</v>
      </c>
      <c r="C24" s="244" t="s">
        <v>144</v>
      </c>
      <c r="D24" s="245" t="s">
        <v>194</v>
      </c>
      <c r="E24" s="246"/>
      <c r="F24" s="247">
        <v>486.4</v>
      </c>
      <c r="G24" s="248">
        <f t="shared" ref="G24:G25" si="4">ROUND(F24*$U$6,0)</f>
        <v>17835</v>
      </c>
      <c r="H24" s="249">
        <f>IF(G24="","",G24*Resumen!$G$6)</f>
        <v>27020025</v>
      </c>
      <c r="I24" s="167" t="s">
        <v>136</v>
      </c>
      <c r="J24" s="246"/>
      <c r="K24" s="246"/>
      <c r="L24" s="250"/>
      <c r="M24" s="245" t="s">
        <v>111</v>
      </c>
      <c r="N24" s="115" t="s">
        <v>113</v>
      </c>
      <c r="O24" s="249">
        <f>IF(G24="","",G24*Resumen!$S$11)</f>
        <v>8917.5</v>
      </c>
      <c r="P24" s="249">
        <f>IF(G24="","",(G24-G24*Resumen!$S$11)/Resumen!$S$12)</f>
        <v>743.125</v>
      </c>
      <c r="Q24" s="249">
        <f>IF(G24="","",((G24-G24*Resumen!$S$11)/Resumen!$S$12)*((1+Resumen!$S$13)*((1+Resumen!$S$13)^Resumen!$S$12-1)/Resumen!$S$13))</f>
        <v>10862.84553</v>
      </c>
      <c r="R24" s="249">
        <f t="shared" si="3"/>
        <v>19780.34553</v>
      </c>
      <c r="S24" s="12"/>
      <c r="T24" s="12"/>
      <c r="U24" s="12"/>
      <c r="V24" s="12"/>
      <c r="W24" s="12"/>
      <c r="X24" s="12"/>
      <c r="Y24" s="12"/>
      <c r="Z24" s="12"/>
    </row>
    <row r="25" ht="25.5" customHeight="1">
      <c r="A25" s="244" t="s">
        <v>104</v>
      </c>
      <c r="B25" s="244" t="s">
        <v>187</v>
      </c>
      <c r="C25" s="244" t="s">
        <v>150</v>
      </c>
      <c r="D25" s="245" t="s">
        <v>195</v>
      </c>
      <c r="E25" s="246"/>
      <c r="F25" s="247">
        <v>486.4</v>
      </c>
      <c r="G25" s="248">
        <f t="shared" si="4"/>
        <v>17835</v>
      </c>
      <c r="H25" s="249">
        <f>IF(G25="","",G25*Resumen!$G$6)</f>
        <v>27020025</v>
      </c>
      <c r="I25" s="167" t="s">
        <v>136</v>
      </c>
      <c r="J25" s="246"/>
      <c r="K25" s="246"/>
      <c r="L25" s="250"/>
      <c r="M25" s="245" t="s">
        <v>111</v>
      </c>
      <c r="N25" s="115" t="s">
        <v>113</v>
      </c>
      <c r="O25" s="249">
        <f>IF(G25="","",G25*Resumen!$S$11)</f>
        <v>8917.5</v>
      </c>
      <c r="P25" s="249">
        <f>IF(G25="","",(G25-G25*Resumen!$S$11)/Resumen!$S$12)</f>
        <v>743.125</v>
      </c>
      <c r="Q25" s="249">
        <f>IF(G25="","",((G25-G25*Resumen!$S$11)/Resumen!$S$12)*((1+Resumen!$S$13)*((1+Resumen!$S$13)^Resumen!$S$12-1)/Resumen!$S$13))</f>
        <v>10862.84553</v>
      </c>
      <c r="R25" s="249">
        <f t="shared" si="3"/>
        <v>19780.34553</v>
      </c>
      <c r="S25" s="12"/>
      <c r="T25" s="12"/>
      <c r="U25" s="12"/>
      <c r="V25" s="12"/>
      <c r="W25" s="12"/>
      <c r="X25" s="12"/>
      <c r="Y25" s="12"/>
      <c r="Z25" s="12"/>
    </row>
    <row r="26" ht="25.5" customHeight="1">
      <c r="A26" s="96" t="s">
        <v>104</v>
      </c>
      <c r="B26" s="96" t="s">
        <v>198</v>
      </c>
      <c r="C26" s="238" t="s">
        <v>106</v>
      </c>
      <c r="D26" s="101" t="s">
        <v>199</v>
      </c>
      <c r="E26" s="190">
        <v>1034.47</v>
      </c>
      <c r="F26" s="104"/>
      <c r="G26" s="105"/>
      <c r="H26" s="105" t="str">
        <f>IF(G26="","",G26*Resumen!$G$6)</f>
        <v/>
      </c>
      <c r="I26" s="194" t="s">
        <v>158</v>
      </c>
      <c r="J26" s="112"/>
      <c r="K26" s="112"/>
      <c r="L26" s="114">
        <v>0.0</v>
      </c>
      <c r="M26" s="101" t="s">
        <v>111</v>
      </c>
      <c r="N26" s="115" t="s">
        <v>113</v>
      </c>
      <c r="O26" s="105" t="str">
        <f>IF(G26="","",G26*Resumen!$S$11)</f>
        <v/>
      </c>
      <c r="P26" s="105" t="str">
        <f>IF(G26="","",(G26-G26*Resumen!$S$11)/Resumen!$S$12)</f>
        <v/>
      </c>
      <c r="Q26" s="105" t="str">
        <f>IF(G26="","",((G26-G26*Resumen!$S$11)/Resumen!$S$12)*((1+Resumen!$S$13)*((1+Resumen!$S$13)^Resumen!$S$12-1)/Resumen!$S$13))</f>
        <v/>
      </c>
      <c r="R26" s="105" t="str">
        <f t="shared" si="3"/>
        <v/>
      </c>
      <c r="S26" s="123">
        <v>2.0</v>
      </c>
      <c r="T26" s="12"/>
      <c r="U26" s="12"/>
      <c r="V26" s="12"/>
      <c r="W26" s="12"/>
      <c r="X26" s="12"/>
      <c r="Y26" s="12"/>
      <c r="Z26" s="12"/>
    </row>
    <row r="27" ht="25.5" customHeight="1">
      <c r="A27" s="156" t="s">
        <v>104</v>
      </c>
      <c r="B27" s="156" t="s">
        <v>198</v>
      </c>
      <c r="C27" s="156" t="s">
        <v>144</v>
      </c>
      <c r="D27" s="158" t="s">
        <v>211</v>
      </c>
      <c r="E27" s="158" t="s">
        <v>111</v>
      </c>
      <c r="F27" s="160">
        <v>517.24</v>
      </c>
      <c r="G27" s="161">
        <f t="shared" ref="G27:G28" si="5">ROUND(F27*$U$6,0)</f>
        <v>18965</v>
      </c>
      <c r="H27" s="264">
        <f>IF(G27="","",G27*Resumen!$G$6)</f>
        <v>28731975</v>
      </c>
      <c r="I27" s="167" t="s">
        <v>136</v>
      </c>
      <c r="J27" s="266"/>
      <c r="K27" s="266"/>
      <c r="L27" s="264">
        <v>0.0</v>
      </c>
      <c r="M27" s="158" t="s">
        <v>111</v>
      </c>
      <c r="N27" s="115" t="s">
        <v>113</v>
      </c>
      <c r="O27" s="264">
        <f>IF(G27="","",G27*Resumen!$S$11)</f>
        <v>9482.5</v>
      </c>
      <c r="P27" s="264">
        <f>IF(G27="","",(G27-G27*Resumen!$S$11)/Resumen!$S$12)</f>
        <v>790.2083333</v>
      </c>
      <c r="Q27" s="264">
        <f>IF(G27="","",((G27-G27*Resumen!$S$11)/Resumen!$S$12)*((1+Resumen!$S$13)*((1+Resumen!$S$13)^Resumen!$S$12-1)/Resumen!$S$13))</f>
        <v>11551.09983</v>
      </c>
      <c r="R27" s="264">
        <f t="shared" si="3"/>
        <v>21033.59983</v>
      </c>
      <c r="S27" s="12"/>
      <c r="T27" s="12"/>
      <c r="U27" s="12"/>
      <c r="V27" s="12"/>
      <c r="W27" s="12"/>
      <c r="X27" s="12"/>
      <c r="Y27" s="12"/>
      <c r="Z27" s="12"/>
    </row>
    <row r="28" ht="25.5" customHeight="1">
      <c r="A28" s="156" t="s">
        <v>104</v>
      </c>
      <c r="B28" s="156" t="s">
        <v>198</v>
      </c>
      <c r="C28" s="156" t="s">
        <v>150</v>
      </c>
      <c r="D28" s="158" t="s">
        <v>216</v>
      </c>
      <c r="E28" s="158" t="s">
        <v>111</v>
      </c>
      <c r="F28" s="160">
        <v>517.24</v>
      </c>
      <c r="G28" s="161">
        <f t="shared" si="5"/>
        <v>18965</v>
      </c>
      <c r="H28" s="264">
        <f>IF(G28="","",G28*Resumen!$G$6)</f>
        <v>28731975</v>
      </c>
      <c r="I28" s="167" t="s">
        <v>136</v>
      </c>
      <c r="J28" s="266"/>
      <c r="K28" s="266"/>
      <c r="L28" s="264">
        <v>0.0</v>
      </c>
      <c r="M28" s="158" t="s">
        <v>111</v>
      </c>
      <c r="N28" s="115" t="s">
        <v>113</v>
      </c>
      <c r="O28" s="264">
        <f>IF(G28="","",G28*Resumen!$S$11)</f>
        <v>9482.5</v>
      </c>
      <c r="P28" s="264">
        <f>IF(G28="","",(G28-G28*Resumen!$S$11)/Resumen!$S$12)</f>
        <v>790.2083333</v>
      </c>
      <c r="Q28" s="264">
        <f>IF(G28="","",((G28-G28*Resumen!$S$11)/Resumen!$S$12)*((1+Resumen!$S$13)*((1+Resumen!$S$13)^Resumen!$S$12-1)/Resumen!$S$13))</f>
        <v>11551.09983</v>
      </c>
      <c r="R28" s="264">
        <f t="shared" si="3"/>
        <v>21033.59983</v>
      </c>
      <c r="S28" s="12"/>
      <c r="T28" s="12"/>
      <c r="U28" s="12"/>
      <c r="V28" s="12"/>
      <c r="W28" s="12"/>
      <c r="X28" s="12"/>
      <c r="Y28" s="12"/>
      <c r="Z28" s="12"/>
    </row>
    <row r="29" ht="25.5" customHeight="1">
      <c r="A29" s="96" t="s">
        <v>104</v>
      </c>
      <c r="B29" s="96" t="s">
        <v>221</v>
      </c>
      <c r="C29" s="238" t="s">
        <v>106</v>
      </c>
      <c r="D29" s="101" t="s">
        <v>223</v>
      </c>
      <c r="E29" s="190">
        <v>1027.67</v>
      </c>
      <c r="F29" s="104"/>
      <c r="G29" s="105"/>
      <c r="H29" s="105" t="str">
        <f>IF(G29="","",G29*Resumen!$G$6)</f>
        <v/>
      </c>
      <c r="I29" s="194" t="s">
        <v>158</v>
      </c>
      <c r="J29" s="112"/>
      <c r="K29" s="112"/>
      <c r="L29" s="114">
        <v>0.0</v>
      </c>
      <c r="M29" s="101" t="s">
        <v>111</v>
      </c>
      <c r="N29" s="115" t="s">
        <v>113</v>
      </c>
      <c r="O29" s="105" t="str">
        <f>IF(G29="","",G29*Resumen!$S$11)</f>
        <v/>
      </c>
      <c r="P29" s="105" t="str">
        <f>IF(G29="","",(G29-G29*Resumen!$S$11)/Resumen!$S$12)</f>
        <v/>
      </c>
      <c r="Q29" s="105" t="str">
        <f>IF(G29="","",((G29-G29*Resumen!$S$11)/Resumen!$S$12)*((1+Resumen!$S$13)*((1+Resumen!$S$13)^Resumen!$S$12-1)/Resumen!$S$13))</f>
        <v/>
      </c>
      <c r="R29" s="105" t="str">
        <f t="shared" si="3"/>
        <v/>
      </c>
      <c r="S29" s="123">
        <v>2.0</v>
      </c>
      <c r="T29" s="12"/>
      <c r="U29" s="12"/>
      <c r="V29" s="12"/>
      <c r="W29" s="12"/>
      <c r="X29" s="12"/>
      <c r="Y29" s="12"/>
      <c r="Z29" s="12"/>
    </row>
    <row r="30" ht="25.5" customHeight="1">
      <c r="A30" s="244" t="s">
        <v>104</v>
      </c>
      <c r="B30" s="244" t="s">
        <v>221</v>
      </c>
      <c r="C30" s="244" t="s">
        <v>144</v>
      </c>
      <c r="D30" s="245" t="s">
        <v>227</v>
      </c>
      <c r="E30" s="245" t="s">
        <v>111</v>
      </c>
      <c r="F30" s="247">
        <v>513.84</v>
      </c>
      <c r="G30" s="248">
        <f t="shared" ref="G30:G31" si="6">ROUND(F30*$U$6,0)</f>
        <v>18841</v>
      </c>
      <c r="H30" s="249">
        <f>IF(G30="","",G30*Resumen!$G$6)</f>
        <v>28544115</v>
      </c>
      <c r="I30" s="167" t="s">
        <v>136</v>
      </c>
      <c r="J30" s="246"/>
      <c r="K30" s="246"/>
      <c r="L30" s="249">
        <v>0.0</v>
      </c>
      <c r="M30" s="245" t="s">
        <v>111</v>
      </c>
      <c r="N30" s="115" t="s">
        <v>113</v>
      </c>
      <c r="O30" s="249">
        <f>IF(G30="","",G30*Resumen!$S$11)</f>
        <v>9420.5</v>
      </c>
      <c r="P30" s="249">
        <f>IF(G30="","",(G30-G30*Resumen!$S$11)/Resumen!$S$12)</f>
        <v>785.0416667</v>
      </c>
      <c r="Q30" s="249">
        <f>IF(G30="","",((G30-G30*Resumen!$S$11)/Resumen!$S$12)*((1+Resumen!$S$13)*((1+Resumen!$S$13)^Resumen!$S$12-1)/Resumen!$S$13))</f>
        <v>11475.57458</v>
      </c>
      <c r="R30" s="249">
        <f t="shared" si="3"/>
        <v>20896.07458</v>
      </c>
      <c r="S30" s="12"/>
      <c r="T30" s="12"/>
      <c r="U30" s="12"/>
      <c r="V30" s="12"/>
      <c r="W30" s="12"/>
      <c r="X30" s="12"/>
      <c r="Y30" s="12"/>
      <c r="Z30" s="12"/>
    </row>
    <row r="31" ht="25.5" customHeight="1">
      <c r="A31" s="244" t="s">
        <v>104</v>
      </c>
      <c r="B31" s="244" t="s">
        <v>221</v>
      </c>
      <c r="C31" s="244" t="s">
        <v>150</v>
      </c>
      <c r="D31" s="245" t="s">
        <v>228</v>
      </c>
      <c r="E31" s="245" t="s">
        <v>111</v>
      </c>
      <c r="F31" s="247">
        <v>513.84</v>
      </c>
      <c r="G31" s="248">
        <f t="shared" si="6"/>
        <v>18841</v>
      </c>
      <c r="H31" s="249">
        <f>IF(G31="","",G31*Resumen!$G$6)</f>
        <v>28544115</v>
      </c>
      <c r="I31" s="167" t="s">
        <v>136</v>
      </c>
      <c r="J31" s="246"/>
      <c r="K31" s="246"/>
      <c r="L31" s="249">
        <v>0.0</v>
      </c>
      <c r="M31" s="245" t="s">
        <v>111</v>
      </c>
      <c r="N31" s="115" t="s">
        <v>113</v>
      </c>
      <c r="O31" s="249">
        <f>IF(G31="","",G31*Resumen!$S$11)</f>
        <v>9420.5</v>
      </c>
      <c r="P31" s="249">
        <f>IF(G31="","",(G31-G31*Resumen!$S$11)/Resumen!$S$12)</f>
        <v>785.0416667</v>
      </c>
      <c r="Q31" s="249">
        <f>IF(G31="","",((G31-G31*Resumen!$S$11)/Resumen!$S$12)*((1+Resumen!$S$13)*((1+Resumen!$S$13)^Resumen!$S$12-1)/Resumen!$S$13))</f>
        <v>11475.57458</v>
      </c>
      <c r="R31" s="249">
        <f t="shared" si="3"/>
        <v>20896.07458</v>
      </c>
      <c r="S31" s="12"/>
      <c r="T31" s="12"/>
      <c r="U31" s="12"/>
      <c r="V31" s="12"/>
      <c r="W31" s="12"/>
      <c r="X31" s="12"/>
      <c r="Y31" s="12"/>
      <c r="Z31" s="12"/>
    </row>
    <row r="32" ht="25.5" customHeight="1">
      <c r="A32" s="130" t="s">
        <v>104</v>
      </c>
      <c r="B32" s="130" t="s">
        <v>229</v>
      </c>
      <c r="C32" s="299" t="s">
        <v>106</v>
      </c>
      <c r="D32" s="300" t="s">
        <v>230</v>
      </c>
      <c r="E32" s="208"/>
      <c r="F32" s="137"/>
      <c r="G32" s="138"/>
      <c r="H32" s="139" t="str">
        <f>IF(G32="","",G32*Resumen!$G$6)</f>
        <v/>
      </c>
      <c r="I32" s="210" t="s">
        <v>128</v>
      </c>
      <c r="J32" s="301" t="s">
        <v>231</v>
      </c>
      <c r="K32" s="213"/>
      <c r="L32" s="214">
        <v>0.0</v>
      </c>
      <c r="M32" s="135" t="s">
        <v>111</v>
      </c>
      <c r="N32" s="115" t="s">
        <v>113</v>
      </c>
      <c r="O32" s="214" t="str">
        <f>IF(G32="","",G32*Resumen!$S$11)</f>
        <v/>
      </c>
      <c r="P32" s="214" t="str">
        <f>IF(G32="","",(G32-G32*Resumen!$S$11)/Resumen!$S$12)</f>
        <v/>
      </c>
      <c r="Q32" s="214" t="str">
        <f>IF(G32="","",((G32-G32*Resumen!$S$11)/Resumen!$S$12)*((1+Resumen!$S$13)*((1+Resumen!$S$13)^Resumen!$S$12-1)/Resumen!$S$13))</f>
        <v/>
      </c>
      <c r="R32" s="214" t="str">
        <f t="shared" si="3"/>
        <v/>
      </c>
      <c r="S32" s="153">
        <v>2.0</v>
      </c>
      <c r="T32" s="302"/>
      <c r="U32" s="149"/>
      <c r="V32" s="149"/>
      <c r="W32" s="149"/>
      <c r="X32" s="149"/>
      <c r="Y32" s="149"/>
      <c r="Z32" s="149"/>
    </row>
    <row r="33" ht="25.5" customHeight="1">
      <c r="A33" s="303" t="s">
        <v>232</v>
      </c>
      <c r="B33" s="304"/>
      <c r="C33" s="304"/>
      <c r="D33" s="304"/>
      <c r="E33" s="304"/>
      <c r="F33" s="305"/>
      <c r="G33" s="304"/>
      <c r="H33" s="304"/>
      <c r="I33" s="304"/>
      <c r="J33" s="304"/>
      <c r="K33" s="304"/>
      <c r="L33" s="304"/>
      <c r="M33" s="304"/>
      <c r="N33" s="115" t="s">
        <v>113</v>
      </c>
      <c r="O33" s="308"/>
      <c r="P33" s="308"/>
      <c r="Q33" s="308"/>
      <c r="R33" s="308"/>
      <c r="S33" s="12"/>
      <c r="T33" s="12"/>
      <c r="U33" s="12"/>
      <c r="V33" s="12"/>
      <c r="W33" s="12"/>
      <c r="X33" s="12"/>
      <c r="Y33" s="12"/>
      <c r="Z33" s="12"/>
    </row>
    <row r="34" ht="25.5" customHeight="1">
      <c r="A34" s="310" t="s">
        <v>234</v>
      </c>
      <c r="B34" s="96" t="s">
        <v>235</v>
      </c>
      <c r="C34" s="238" t="s">
        <v>106</v>
      </c>
      <c r="D34" s="101" t="s">
        <v>236</v>
      </c>
      <c r="E34" s="190">
        <v>1265.1</v>
      </c>
      <c r="F34" s="104"/>
      <c r="G34" s="105"/>
      <c r="H34" s="105" t="str">
        <f>IF(G34="","",G34*Resumen!$G$6)</f>
        <v/>
      </c>
      <c r="I34" s="194" t="s">
        <v>158</v>
      </c>
      <c r="J34" s="112"/>
      <c r="K34" s="112"/>
      <c r="L34" s="114">
        <v>0.0</v>
      </c>
      <c r="M34" s="101" t="s">
        <v>111</v>
      </c>
      <c r="N34" s="115" t="s">
        <v>113</v>
      </c>
      <c r="O34" s="105" t="str">
        <f>IF(G34="","",G34*Resumen!$S$11)</f>
        <v/>
      </c>
      <c r="P34" s="105" t="str">
        <f>IF(G34="","",(G34-G34*Resumen!$S$11)/Resumen!$S$12)</f>
        <v/>
      </c>
      <c r="Q34" s="105" t="str">
        <f>IF(G34="","",((G34-G34*Resumen!$S$11)/Resumen!$S$12)*((1+Resumen!$S$13)*((1+Resumen!$S$13)^Resumen!$S$12-1)/Resumen!$S$13))</f>
        <v/>
      </c>
      <c r="R34" s="105" t="str">
        <f t="shared" ref="R34:R68" si="7">IF(G34="","",O34+Q34)</f>
        <v/>
      </c>
      <c r="S34" s="123">
        <v>2.0</v>
      </c>
      <c r="T34" s="12"/>
      <c r="U34" s="12"/>
      <c r="V34" s="12"/>
      <c r="W34" s="12"/>
      <c r="X34" s="12"/>
      <c r="Y34" s="12"/>
      <c r="Z34" s="12"/>
    </row>
    <row r="35" ht="25.5" customHeight="1">
      <c r="A35" s="156" t="s">
        <v>238</v>
      </c>
      <c r="B35" s="156" t="s">
        <v>235</v>
      </c>
      <c r="C35" s="156" t="s">
        <v>144</v>
      </c>
      <c r="D35" s="158" t="s">
        <v>239</v>
      </c>
      <c r="E35" s="158" t="s">
        <v>111</v>
      </c>
      <c r="F35" s="160">
        <v>632.55</v>
      </c>
      <c r="G35" s="161">
        <f t="shared" ref="G35:G36" si="8">ROUND(F35*$U$6,0)</f>
        <v>23194</v>
      </c>
      <c r="H35" s="264">
        <f>IF(G35="","",G35*Resumen!$G$6)</f>
        <v>35138910</v>
      </c>
      <c r="I35" s="194" t="s">
        <v>158</v>
      </c>
      <c r="J35" s="158"/>
      <c r="K35" s="266"/>
      <c r="L35" s="264">
        <v>0.0</v>
      </c>
      <c r="M35" s="158" t="s">
        <v>111</v>
      </c>
      <c r="N35" s="115" t="s">
        <v>113</v>
      </c>
      <c r="O35" s="264">
        <f>IF(G35="","",G35*Resumen!$S$11)</f>
        <v>11597</v>
      </c>
      <c r="P35" s="264">
        <f>IF(G35="","",(G35-G35*Resumen!$S$11)/Resumen!$S$12)</f>
        <v>966.4166667</v>
      </c>
      <c r="Q35" s="264">
        <f>IF(G35="","",((G35-G35*Resumen!$S$11)/Resumen!$S$12)*((1+Resumen!$S$13)*((1+Resumen!$S$13)^Resumen!$S$12-1)/Resumen!$S$13))</f>
        <v>14126.87632</v>
      </c>
      <c r="R35" s="264">
        <f t="shared" si="7"/>
        <v>25723.87632</v>
      </c>
      <c r="S35" s="12"/>
      <c r="T35" s="12"/>
      <c r="U35" s="12"/>
      <c r="V35" s="12"/>
      <c r="W35" s="12"/>
      <c r="X35" s="12"/>
      <c r="Y35" s="12"/>
      <c r="Z35" s="12"/>
    </row>
    <row r="36" ht="25.5" customHeight="1">
      <c r="A36" s="156" t="s">
        <v>238</v>
      </c>
      <c r="B36" s="156" t="s">
        <v>235</v>
      </c>
      <c r="C36" s="156" t="s">
        <v>150</v>
      </c>
      <c r="D36" s="158" t="s">
        <v>240</v>
      </c>
      <c r="E36" s="158" t="s">
        <v>111</v>
      </c>
      <c r="F36" s="160">
        <v>632.55</v>
      </c>
      <c r="G36" s="161">
        <f t="shared" si="8"/>
        <v>23194</v>
      </c>
      <c r="H36" s="264">
        <f>IF(G36="","",G36*Resumen!$G$6)</f>
        <v>35138910</v>
      </c>
      <c r="I36" s="194" t="s">
        <v>158</v>
      </c>
      <c r="J36" s="158"/>
      <c r="K36" s="266"/>
      <c r="L36" s="264">
        <v>0.0</v>
      </c>
      <c r="M36" s="158" t="s">
        <v>111</v>
      </c>
      <c r="N36" s="115" t="s">
        <v>113</v>
      </c>
      <c r="O36" s="264">
        <f>IF(G36="","",G36*Resumen!$S$11)</f>
        <v>11597</v>
      </c>
      <c r="P36" s="264">
        <f>IF(G36="","",(G36-G36*Resumen!$S$11)/Resumen!$S$12)</f>
        <v>966.4166667</v>
      </c>
      <c r="Q36" s="264">
        <f>IF(G36="","",((G36-G36*Resumen!$S$11)/Resumen!$S$12)*((1+Resumen!$S$13)*((1+Resumen!$S$13)^Resumen!$S$12-1)/Resumen!$S$13))</f>
        <v>14126.87632</v>
      </c>
      <c r="R36" s="264">
        <f t="shared" si="7"/>
        <v>25723.87632</v>
      </c>
      <c r="S36" s="12"/>
      <c r="T36" s="12"/>
      <c r="U36" s="12"/>
      <c r="V36" s="12"/>
      <c r="W36" s="12"/>
      <c r="X36" s="12"/>
      <c r="Y36" s="12"/>
      <c r="Z36" s="12"/>
    </row>
    <row r="37" ht="25.5" customHeight="1">
      <c r="A37" s="96" t="s">
        <v>238</v>
      </c>
      <c r="B37" s="96" t="s">
        <v>241</v>
      </c>
      <c r="C37" s="238" t="s">
        <v>106</v>
      </c>
      <c r="D37" s="101" t="s">
        <v>242</v>
      </c>
      <c r="E37" s="190">
        <v>904.82</v>
      </c>
      <c r="F37" s="104"/>
      <c r="G37" s="105"/>
      <c r="H37" s="105" t="str">
        <f>IF(G37="","",G37*Resumen!$G$6)</f>
        <v/>
      </c>
      <c r="I37" s="194" t="s">
        <v>158</v>
      </c>
      <c r="J37" s="112"/>
      <c r="K37" s="112"/>
      <c r="L37" s="114">
        <v>0.0</v>
      </c>
      <c r="M37" s="101" t="s">
        <v>111</v>
      </c>
      <c r="N37" s="115" t="s">
        <v>113</v>
      </c>
      <c r="O37" s="105" t="str">
        <f>IF(G37="","",G37*Resumen!$S$11)</f>
        <v/>
      </c>
      <c r="P37" s="105" t="str">
        <f>IF(G37="","",(G37-G37*Resumen!$S$11)/Resumen!$S$12)</f>
        <v/>
      </c>
      <c r="Q37" s="105" t="str">
        <f>IF(G37="","",((G37-G37*Resumen!$S$11)/Resumen!$S$12)*((1+Resumen!$S$13)*((1+Resumen!$S$13)^Resumen!$S$12-1)/Resumen!$S$13))</f>
        <v/>
      </c>
      <c r="R37" s="105" t="str">
        <f t="shared" si="7"/>
        <v/>
      </c>
      <c r="S37" s="123">
        <v>2.0</v>
      </c>
      <c r="T37" s="12"/>
      <c r="U37" s="12"/>
      <c r="V37" s="12"/>
      <c r="W37" s="12"/>
      <c r="X37" s="12"/>
      <c r="Y37" s="12"/>
      <c r="Z37" s="12"/>
    </row>
    <row r="38" ht="25.5" customHeight="1">
      <c r="A38" s="244" t="s">
        <v>238</v>
      </c>
      <c r="B38" s="244" t="s">
        <v>241</v>
      </c>
      <c r="C38" s="244" t="s">
        <v>144</v>
      </c>
      <c r="D38" s="245" t="s">
        <v>243</v>
      </c>
      <c r="E38" s="245" t="s">
        <v>111</v>
      </c>
      <c r="F38" s="247">
        <v>452.41</v>
      </c>
      <c r="G38" s="248">
        <f t="shared" ref="G38:G39" si="9">ROUND(F38*$U$6,0)</f>
        <v>16588</v>
      </c>
      <c r="H38" s="249">
        <f>IF(G38="","",G38*Resumen!$G$6)</f>
        <v>25130820</v>
      </c>
      <c r="I38" s="194" t="s">
        <v>158</v>
      </c>
      <c r="J38" s="246"/>
      <c r="K38" s="246"/>
      <c r="L38" s="249">
        <v>0.0</v>
      </c>
      <c r="M38" s="245" t="s">
        <v>111</v>
      </c>
      <c r="N38" s="115" t="s">
        <v>113</v>
      </c>
      <c r="O38" s="249">
        <f>IF(G38="","",G38*Resumen!$S$11)</f>
        <v>8294</v>
      </c>
      <c r="P38" s="249">
        <f>IF(G38="","",(G38-G38*Resumen!$S$11)/Resumen!$S$12)</f>
        <v>691.1666667</v>
      </c>
      <c r="Q38" s="249">
        <f>IF(G38="","",((G38-G38*Resumen!$S$11)/Resumen!$S$12)*((1+Resumen!$S$13)*((1+Resumen!$S$13)^Resumen!$S$12-1)/Resumen!$S$13))</f>
        <v>10103.3295</v>
      </c>
      <c r="R38" s="249">
        <f t="shared" si="7"/>
        <v>18397.3295</v>
      </c>
      <c r="S38" s="12"/>
      <c r="T38" s="12"/>
      <c r="U38" s="12"/>
      <c r="V38" s="12"/>
      <c r="W38" s="12"/>
      <c r="X38" s="12"/>
      <c r="Y38" s="12"/>
      <c r="Z38" s="12"/>
    </row>
    <row r="39" ht="25.5" customHeight="1">
      <c r="A39" s="244" t="s">
        <v>238</v>
      </c>
      <c r="B39" s="244" t="s">
        <v>241</v>
      </c>
      <c r="C39" s="244" t="s">
        <v>150</v>
      </c>
      <c r="D39" s="245" t="s">
        <v>244</v>
      </c>
      <c r="E39" s="245" t="s">
        <v>111</v>
      </c>
      <c r="F39" s="247">
        <v>452.41</v>
      </c>
      <c r="G39" s="248">
        <f t="shared" si="9"/>
        <v>16588</v>
      </c>
      <c r="H39" s="249">
        <f>IF(G39="","",G39*Resumen!$G$6)</f>
        <v>25130820</v>
      </c>
      <c r="I39" s="194" t="s">
        <v>158</v>
      </c>
      <c r="J39" s="246"/>
      <c r="K39" s="246"/>
      <c r="L39" s="249">
        <v>0.0</v>
      </c>
      <c r="M39" s="245" t="s">
        <v>111</v>
      </c>
      <c r="N39" s="115" t="s">
        <v>113</v>
      </c>
      <c r="O39" s="249">
        <f>IF(G39="","",G39*Resumen!$S$11)</f>
        <v>8294</v>
      </c>
      <c r="P39" s="249">
        <f>IF(G39="","",(G39-G39*Resumen!$S$11)/Resumen!$S$12)</f>
        <v>691.1666667</v>
      </c>
      <c r="Q39" s="249">
        <f>IF(G39="","",((G39-G39*Resumen!$S$11)/Resumen!$S$12)*((1+Resumen!$S$13)*((1+Resumen!$S$13)^Resumen!$S$12-1)/Resumen!$S$13))</f>
        <v>10103.3295</v>
      </c>
      <c r="R39" s="249">
        <f t="shared" si="7"/>
        <v>18397.3295</v>
      </c>
      <c r="S39" s="12"/>
      <c r="T39" s="12"/>
      <c r="U39" s="12"/>
      <c r="V39" s="12"/>
      <c r="W39" s="12"/>
      <c r="X39" s="12"/>
      <c r="Y39" s="12"/>
      <c r="Z39" s="12"/>
    </row>
    <row r="40" ht="25.5" customHeight="1">
      <c r="A40" s="96" t="s">
        <v>238</v>
      </c>
      <c r="B40" s="96" t="s">
        <v>245</v>
      </c>
      <c r="C40" s="238" t="s">
        <v>106</v>
      </c>
      <c r="D40" s="101" t="s">
        <v>246</v>
      </c>
      <c r="E40" s="190">
        <v>913.89</v>
      </c>
      <c r="F40" s="104"/>
      <c r="G40" s="105"/>
      <c r="H40" s="105" t="str">
        <f>IF(G40="","",G40*Resumen!$G$6)</f>
        <v/>
      </c>
      <c r="I40" s="194" t="s">
        <v>158</v>
      </c>
      <c r="J40" s="112"/>
      <c r="K40" s="112"/>
      <c r="L40" s="114">
        <v>0.0</v>
      </c>
      <c r="M40" s="101" t="s">
        <v>111</v>
      </c>
      <c r="N40" s="115" t="s">
        <v>113</v>
      </c>
      <c r="O40" s="105" t="str">
        <f>IF(G40="","",G40*Resumen!$S$11)</f>
        <v/>
      </c>
      <c r="P40" s="105" t="str">
        <f>IF(G40="","",(G40-G40*Resumen!$S$11)/Resumen!$S$12)</f>
        <v/>
      </c>
      <c r="Q40" s="105" t="str">
        <f>IF(G40="","",((G40-G40*Resumen!$S$11)/Resumen!$S$12)*((1+Resumen!$S$13)*((1+Resumen!$S$13)^Resumen!$S$12-1)/Resumen!$S$13))</f>
        <v/>
      </c>
      <c r="R40" s="105" t="str">
        <f t="shared" si="7"/>
        <v/>
      </c>
      <c r="S40" s="123">
        <v>2.0</v>
      </c>
      <c r="T40" s="12"/>
      <c r="U40" s="12"/>
      <c r="V40" s="12"/>
      <c r="W40" s="12"/>
      <c r="X40" s="12"/>
      <c r="Y40" s="12"/>
      <c r="Z40" s="12"/>
    </row>
    <row r="41" ht="25.5" customHeight="1">
      <c r="A41" s="156" t="s">
        <v>238</v>
      </c>
      <c r="B41" s="156" t="s">
        <v>245</v>
      </c>
      <c r="C41" s="156" t="s">
        <v>144</v>
      </c>
      <c r="D41" s="158" t="s">
        <v>247</v>
      </c>
      <c r="E41" s="158" t="s">
        <v>111</v>
      </c>
      <c r="F41" s="160">
        <v>456.95</v>
      </c>
      <c r="G41" s="161">
        <f t="shared" ref="G41:G42" si="10">ROUND(F41*$U$6,0)</f>
        <v>16755</v>
      </c>
      <c r="H41" s="264">
        <f>IF(G41="","",G41*Resumen!$G$6)</f>
        <v>25383825</v>
      </c>
      <c r="I41" s="194" t="s">
        <v>158</v>
      </c>
      <c r="J41" s="266"/>
      <c r="K41" s="266"/>
      <c r="L41" s="264">
        <v>0.0</v>
      </c>
      <c r="M41" s="158" t="s">
        <v>111</v>
      </c>
      <c r="N41" s="115" t="s">
        <v>113</v>
      </c>
      <c r="O41" s="264">
        <f>IF(G41="","",G41*Resumen!$S$11)</f>
        <v>8377.5</v>
      </c>
      <c r="P41" s="264">
        <f>IF(G41="","",(G41-G41*Resumen!$S$11)/Resumen!$S$12)</f>
        <v>698.125</v>
      </c>
      <c r="Q41" s="264">
        <f>IF(G41="","",((G41-G41*Resumen!$S$11)/Resumen!$S$12)*((1+Resumen!$S$13)*((1+Resumen!$S$13)^Resumen!$S$12-1)/Resumen!$S$13))</f>
        <v>10205.04496</v>
      </c>
      <c r="R41" s="264">
        <f t="shared" si="7"/>
        <v>18582.54496</v>
      </c>
      <c r="S41" s="12"/>
      <c r="T41" s="12"/>
      <c r="U41" s="12"/>
      <c r="V41" s="12"/>
      <c r="W41" s="12"/>
      <c r="X41" s="12"/>
      <c r="Y41" s="12"/>
      <c r="Z41" s="12"/>
    </row>
    <row r="42" ht="25.5" customHeight="1">
      <c r="A42" s="156" t="s">
        <v>238</v>
      </c>
      <c r="B42" s="156" t="s">
        <v>245</v>
      </c>
      <c r="C42" s="156" t="s">
        <v>150</v>
      </c>
      <c r="D42" s="158" t="s">
        <v>248</v>
      </c>
      <c r="E42" s="158" t="s">
        <v>111</v>
      </c>
      <c r="F42" s="160">
        <v>456.95</v>
      </c>
      <c r="G42" s="161">
        <f t="shared" si="10"/>
        <v>16755</v>
      </c>
      <c r="H42" s="264">
        <f>IF(G42="","",G42*Resumen!$G$6)</f>
        <v>25383825</v>
      </c>
      <c r="I42" s="194" t="s">
        <v>158</v>
      </c>
      <c r="J42" s="266"/>
      <c r="K42" s="266"/>
      <c r="L42" s="264">
        <v>0.0</v>
      </c>
      <c r="M42" s="158" t="s">
        <v>111</v>
      </c>
      <c r="N42" s="115" t="s">
        <v>113</v>
      </c>
      <c r="O42" s="264">
        <f>IF(G42="","",G42*Resumen!$S$11)</f>
        <v>8377.5</v>
      </c>
      <c r="P42" s="264">
        <f>IF(G42="","",(G42-G42*Resumen!$S$11)/Resumen!$S$12)</f>
        <v>698.125</v>
      </c>
      <c r="Q42" s="264">
        <f>IF(G42="","",((G42-G42*Resumen!$S$11)/Resumen!$S$12)*((1+Resumen!$S$13)*((1+Resumen!$S$13)^Resumen!$S$12-1)/Resumen!$S$13))</f>
        <v>10205.04496</v>
      </c>
      <c r="R42" s="264">
        <f t="shared" si="7"/>
        <v>18582.54496</v>
      </c>
      <c r="S42" s="12"/>
      <c r="T42" s="12"/>
      <c r="U42" s="12"/>
      <c r="V42" s="12"/>
      <c r="W42" s="12"/>
      <c r="X42" s="12"/>
      <c r="Y42" s="12"/>
      <c r="Z42" s="12"/>
    </row>
    <row r="43" ht="25.5" customHeight="1">
      <c r="A43" s="315" t="s">
        <v>238</v>
      </c>
      <c r="B43" s="315" t="s">
        <v>249</v>
      </c>
      <c r="C43" s="316" t="s">
        <v>155</v>
      </c>
      <c r="D43" s="317" t="s">
        <v>250</v>
      </c>
      <c r="E43" s="318">
        <v>1333.07</v>
      </c>
      <c r="F43" s="319"/>
      <c r="G43" s="320"/>
      <c r="H43" s="321" t="str">
        <f>IF(G43="","",G43*Resumen!$G$6)</f>
        <v/>
      </c>
      <c r="I43" s="322" t="s">
        <v>251</v>
      </c>
      <c r="J43" s="323" t="s">
        <v>252</v>
      </c>
      <c r="K43" s="317"/>
      <c r="L43" s="321">
        <v>0.0</v>
      </c>
      <c r="M43" s="317" t="s">
        <v>111</v>
      </c>
      <c r="N43" s="115" t="s">
        <v>113</v>
      </c>
      <c r="O43" s="321" t="str">
        <f>IF(G43="","",G43*Resumen!$S$11)</f>
        <v/>
      </c>
      <c r="P43" s="321" t="str">
        <f>IF(G43="","",(G43-G43*Resumen!$S$11)/Resumen!$S$12)</f>
        <v/>
      </c>
      <c r="Q43" s="321" t="str">
        <f>IF(G43="","",((G43-G43*Resumen!$S$11)/Resumen!$S$12)*((1+Resumen!$S$13)*((1+Resumen!$S$13)^Resumen!$S$12-1)/Resumen!$S$13))</f>
        <v/>
      </c>
      <c r="R43" s="321" t="str">
        <f t="shared" si="7"/>
        <v/>
      </c>
    </row>
    <row r="44" ht="25.5" customHeight="1">
      <c r="A44" s="96" t="s">
        <v>238</v>
      </c>
      <c r="B44" s="96" t="s">
        <v>253</v>
      </c>
      <c r="C44" s="238" t="s">
        <v>106</v>
      </c>
      <c r="D44" s="101" t="s">
        <v>254</v>
      </c>
      <c r="E44" s="190">
        <v>1265.4</v>
      </c>
      <c r="F44" s="104"/>
      <c r="G44" s="105"/>
      <c r="H44" s="105" t="str">
        <f>IF(G44="","",G44*Resumen!$G$6)</f>
        <v/>
      </c>
      <c r="I44" s="194" t="s">
        <v>158</v>
      </c>
      <c r="J44" s="112"/>
      <c r="K44" s="112"/>
      <c r="L44" s="114">
        <v>0.0</v>
      </c>
      <c r="M44" s="101" t="s">
        <v>111</v>
      </c>
      <c r="N44" s="115" t="s">
        <v>113</v>
      </c>
      <c r="O44" s="105" t="str">
        <f>IF(G44="","",G44*Resumen!$S$11)</f>
        <v/>
      </c>
      <c r="P44" s="105" t="str">
        <f>IF(G44="","",(G44-G44*Resumen!$S$11)/Resumen!$S$12)</f>
        <v/>
      </c>
      <c r="Q44" s="105" t="str">
        <f>IF(G44="","",((G44-G44*Resumen!$S$11)/Resumen!$S$12)*((1+Resumen!$S$13)*((1+Resumen!$S$13)^Resumen!$S$12-1)/Resumen!$S$13))</f>
        <v/>
      </c>
      <c r="R44" s="105" t="str">
        <f t="shared" si="7"/>
        <v/>
      </c>
      <c r="S44" s="123">
        <v>2.0</v>
      </c>
      <c r="T44" s="12"/>
      <c r="U44" s="12"/>
      <c r="V44" s="12"/>
      <c r="W44" s="12"/>
      <c r="X44" s="12"/>
      <c r="Y44" s="12"/>
      <c r="Z44" s="12"/>
    </row>
    <row r="45" ht="25.5" customHeight="1">
      <c r="A45" s="244" t="s">
        <v>238</v>
      </c>
      <c r="B45" s="244" t="s">
        <v>253</v>
      </c>
      <c r="C45" s="244" t="s">
        <v>144</v>
      </c>
      <c r="D45" s="245" t="s">
        <v>255</v>
      </c>
      <c r="E45" s="245" t="s">
        <v>111</v>
      </c>
      <c r="F45" s="247">
        <v>632.7</v>
      </c>
      <c r="G45" s="248">
        <f t="shared" ref="G45:G46" si="11">ROUND(F45*$U$6,0)</f>
        <v>23199</v>
      </c>
      <c r="H45" s="249">
        <f>IF(G45="","",G45*Resumen!$G$6)</f>
        <v>35146485</v>
      </c>
      <c r="I45" s="194" t="s">
        <v>158</v>
      </c>
      <c r="J45" s="245"/>
      <c r="K45" s="246"/>
      <c r="L45" s="249">
        <v>0.0</v>
      </c>
      <c r="M45" s="245" t="s">
        <v>111</v>
      </c>
      <c r="N45" s="115" t="s">
        <v>113</v>
      </c>
      <c r="O45" s="249">
        <f>IF(G45="","",G45*Resumen!$S$11)</f>
        <v>11599.5</v>
      </c>
      <c r="P45" s="249">
        <f>IF(G45="","",(G45-G45*Resumen!$S$11)/Resumen!$S$12)</f>
        <v>966.625</v>
      </c>
      <c r="Q45" s="249">
        <f>IF(G45="","",((G45-G45*Resumen!$S$11)/Resumen!$S$12)*((1+Resumen!$S$13)*((1+Resumen!$S$13)^Resumen!$S$12-1)/Resumen!$S$13))</f>
        <v>14129.92169</v>
      </c>
      <c r="R45" s="249">
        <f t="shared" si="7"/>
        <v>25729.42169</v>
      </c>
      <c r="S45" s="12"/>
      <c r="T45" s="12"/>
      <c r="U45" s="12"/>
      <c r="V45" s="12"/>
      <c r="W45" s="12"/>
      <c r="X45" s="12"/>
      <c r="Y45" s="12"/>
      <c r="Z45" s="12"/>
    </row>
    <row r="46" ht="25.5" customHeight="1">
      <c r="A46" s="244" t="s">
        <v>238</v>
      </c>
      <c r="B46" s="244" t="s">
        <v>253</v>
      </c>
      <c r="C46" s="244" t="s">
        <v>150</v>
      </c>
      <c r="D46" s="245" t="s">
        <v>256</v>
      </c>
      <c r="E46" s="245" t="s">
        <v>111</v>
      </c>
      <c r="F46" s="247">
        <v>632.7</v>
      </c>
      <c r="G46" s="248">
        <f t="shared" si="11"/>
        <v>23199</v>
      </c>
      <c r="H46" s="249">
        <f>IF(G46="","",G46*Resumen!$G$6)</f>
        <v>35146485</v>
      </c>
      <c r="I46" s="194" t="s">
        <v>158</v>
      </c>
      <c r="J46" s="245"/>
      <c r="K46" s="246"/>
      <c r="L46" s="249">
        <v>0.0</v>
      </c>
      <c r="M46" s="245" t="s">
        <v>111</v>
      </c>
      <c r="N46" s="115" t="s">
        <v>113</v>
      </c>
      <c r="O46" s="249">
        <f>IF(G46="","",G46*Resumen!$S$11)</f>
        <v>11599.5</v>
      </c>
      <c r="P46" s="249">
        <f>IF(G46="","",(G46-G46*Resumen!$S$11)/Resumen!$S$12)</f>
        <v>966.625</v>
      </c>
      <c r="Q46" s="249">
        <f>IF(G46="","",((G46-G46*Resumen!$S$11)/Resumen!$S$12)*((1+Resumen!$S$13)*((1+Resumen!$S$13)^Resumen!$S$12-1)/Resumen!$S$13))</f>
        <v>14129.92169</v>
      </c>
      <c r="R46" s="249">
        <f t="shared" si="7"/>
        <v>25729.42169</v>
      </c>
      <c r="S46" s="12"/>
      <c r="T46" s="12"/>
      <c r="U46" s="12"/>
      <c r="V46" s="12"/>
      <c r="W46" s="12"/>
      <c r="X46" s="12"/>
      <c r="Y46" s="12"/>
      <c r="Z46" s="12"/>
    </row>
    <row r="47" ht="25.5" customHeight="1">
      <c r="A47" s="332" t="s">
        <v>265</v>
      </c>
      <c r="B47" s="332" t="s">
        <v>267</v>
      </c>
      <c r="C47" s="334" t="s">
        <v>106</v>
      </c>
      <c r="D47" s="336" t="s">
        <v>268</v>
      </c>
      <c r="E47" s="338">
        <v>1854.0</v>
      </c>
      <c r="F47" s="339"/>
      <c r="G47" s="341"/>
      <c r="H47" s="342" t="str">
        <f>IF(G47="","",G47*Resumen!$G$6)</f>
        <v/>
      </c>
      <c r="I47" s="343" t="s">
        <v>128</v>
      </c>
      <c r="J47" s="336" t="s">
        <v>272</v>
      </c>
      <c r="K47" s="344"/>
      <c r="L47" s="342">
        <v>0.0</v>
      </c>
      <c r="M47" s="344" t="s">
        <v>111</v>
      </c>
      <c r="N47" s="115" t="s">
        <v>113</v>
      </c>
      <c r="O47" s="342" t="str">
        <f>IF(G47="","",G47*Resumen!$S$11)</f>
        <v/>
      </c>
      <c r="P47" s="342" t="str">
        <f>IF(G47="","",(G47-G47*Resumen!$S$11)/Resumen!$S$12)</f>
        <v/>
      </c>
      <c r="Q47" s="342" t="str">
        <f>IF(G47="","",((G47-G47*Resumen!$S$11)/Resumen!$S$12)*((1+Resumen!$S$13)*((1+Resumen!$S$13)^Resumen!$S$12-1)/Resumen!$S$13))</f>
        <v/>
      </c>
      <c r="R47" s="342" t="str">
        <f t="shared" si="7"/>
        <v/>
      </c>
      <c r="S47" s="354">
        <v>2.0</v>
      </c>
      <c r="T47" s="355"/>
      <c r="U47" s="355"/>
      <c r="V47" s="355"/>
      <c r="W47" s="355"/>
      <c r="X47" s="355"/>
      <c r="Y47" s="355"/>
      <c r="Z47" s="355"/>
    </row>
    <row r="48" ht="25.5" customHeight="1">
      <c r="A48" s="356" t="s">
        <v>265</v>
      </c>
      <c r="B48" s="356" t="s">
        <v>282</v>
      </c>
      <c r="C48" s="357" t="s">
        <v>106</v>
      </c>
      <c r="D48" s="358" t="s">
        <v>285</v>
      </c>
      <c r="E48" s="359">
        <v>900.0</v>
      </c>
      <c r="F48" s="360"/>
      <c r="G48" s="361"/>
      <c r="H48" s="362" t="str">
        <f>IF(G48="","",G48*Resumen!$G$6)</f>
        <v/>
      </c>
      <c r="I48" s="363" t="s">
        <v>158</v>
      </c>
      <c r="J48" s="364"/>
      <c r="K48" s="365"/>
      <c r="L48" s="362">
        <v>0.0</v>
      </c>
      <c r="M48" s="365" t="s">
        <v>111</v>
      </c>
      <c r="N48" s="115" t="s">
        <v>113</v>
      </c>
      <c r="O48" s="362" t="str">
        <f>IF(G48="","",G48*Resumen!$S$11)</f>
        <v/>
      </c>
      <c r="P48" s="362" t="str">
        <f>IF(G48="","",(G48-G48*Resumen!$S$11)/Resumen!$S$12)</f>
        <v/>
      </c>
      <c r="Q48" s="362" t="str">
        <f>IF(G48="","",((G48-G48*Resumen!$S$11)/Resumen!$S$12)*((1+Resumen!$S$13)*((1+Resumen!$S$13)^Resumen!$S$12-1)/Resumen!$S$13))</f>
        <v/>
      </c>
      <c r="R48" s="362" t="str">
        <f t="shared" si="7"/>
        <v/>
      </c>
      <c r="S48" s="366">
        <v>2.0</v>
      </c>
    </row>
    <row r="49" ht="25.5" customHeight="1">
      <c r="A49" s="367" t="s">
        <v>238</v>
      </c>
      <c r="B49" s="368" t="s">
        <v>282</v>
      </c>
      <c r="C49" s="369" t="s">
        <v>144</v>
      </c>
      <c r="D49" s="370" t="s">
        <v>301</v>
      </c>
      <c r="E49" s="371" t="s">
        <v>111</v>
      </c>
      <c r="F49" s="372">
        <v>632.7</v>
      </c>
      <c r="G49" s="373">
        <f t="shared" ref="G49:G50" si="12">ROUND(F49*$U$6,0)</f>
        <v>23199</v>
      </c>
      <c r="H49" s="374">
        <f>IF(G49="","",G49*Resumen!$G$6)</f>
        <v>35146485</v>
      </c>
      <c r="I49" s="375" t="s">
        <v>158</v>
      </c>
      <c r="J49" s="376"/>
      <c r="K49" s="376"/>
      <c r="L49" s="374">
        <v>0.0</v>
      </c>
      <c r="M49" s="377" t="s">
        <v>111</v>
      </c>
      <c r="N49" s="115" t="s">
        <v>113</v>
      </c>
      <c r="O49" s="374">
        <f>IF(G49="","",G49*Resumen!$S$11)</f>
        <v>11599.5</v>
      </c>
      <c r="P49" s="374">
        <f>IF(G49="","",(G49-G49*Resumen!$S$11)/Resumen!$S$12)</f>
        <v>966.625</v>
      </c>
      <c r="Q49" s="374">
        <f>IF(G49="","",((G49-G49*Resumen!$S$11)/Resumen!$S$12)*((1+Resumen!$S$13)*((1+Resumen!$S$13)^Resumen!$S$12-1)/Resumen!$S$13))</f>
        <v>14129.92169</v>
      </c>
      <c r="R49" s="374">
        <f t="shared" si="7"/>
        <v>25729.42169</v>
      </c>
      <c r="S49" s="91"/>
      <c r="T49" s="94"/>
      <c r="U49" s="94"/>
      <c r="V49" s="94"/>
      <c r="W49" s="94"/>
      <c r="X49" s="94"/>
      <c r="Y49" s="94"/>
      <c r="Z49" s="94"/>
    </row>
    <row r="50" ht="25.5" customHeight="1">
      <c r="A50" s="367" t="s">
        <v>238</v>
      </c>
      <c r="B50" s="368" t="s">
        <v>282</v>
      </c>
      <c r="C50" s="369" t="s">
        <v>150</v>
      </c>
      <c r="D50" s="370" t="s">
        <v>319</v>
      </c>
      <c r="E50" s="371" t="s">
        <v>111</v>
      </c>
      <c r="F50" s="372">
        <v>632.7</v>
      </c>
      <c r="G50" s="373">
        <f t="shared" si="12"/>
        <v>23199</v>
      </c>
      <c r="H50" s="374">
        <f>IF(G50="","",G50*Resumen!$G$6)</f>
        <v>35146485</v>
      </c>
      <c r="I50" s="375" t="s">
        <v>158</v>
      </c>
      <c r="J50" s="376"/>
      <c r="K50" s="376"/>
      <c r="L50" s="374">
        <v>0.0</v>
      </c>
      <c r="M50" s="377" t="s">
        <v>111</v>
      </c>
      <c r="N50" s="115" t="s">
        <v>113</v>
      </c>
      <c r="O50" s="374">
        <f>IF(G50="","",G50*Resumen!$S$11)</f>
        <v>11599.5</v>
      </c>
      <c r="P50" s="374">
        <f>IF(G50="","",(G50-G50*Resumen!$S$11)/Resumen!$S$12)</f>
        <v>966.625</v>
      </c>
      <c r="Q50" s="374">
        <f>IF(G50="","",((G50-G50*Resumen!$S$11)/Resumen!$S$12)*((1+Resumen!$S$13)*((1+Resumen!$S$13)^Resumen!$S$12-1)/Resumen!$S$13))</f>
        <v>14129.92169</v>
      </c>
      <c r="R50" s="374">
        <f t="shared" si="7"/>
        <v>25729.42169</v>
      </c>
      <c r="S50" s="91"/>
      <c r="T50" s="94"/>
      <c r="U50" s="94"/>
      <c r="V50" s="94"/>
      <c r="W50" s="94"/>
      <c r="X50" s="94"/>
      <c r="Y50" s="94"/>
      <c r="Z50" s="94"/>
    </row>
    <row r="51" ht="25.5" customHeight="1">
      <c r="A51" s="356" t="s">
        <v>265</v>
      </c>
      <c r="B51" s="392" t="s">
        <v>322</v>
      </c>
      <c r="C51" s="357" t="s">
        <v>106</v>
      </c>
      <c r="D51" s="365" t="s">
        <v>323</v>
      </c>
      <c r="E51" s="359">
        <v>900.0</v>
      </c>
      <c r="F51" s="360"/>
      <c r="G51" s="396"/>
      <c r="H51" s="362" t="str">
        <f>IF(G51="","",G51*Resumen!$G$6)</f>
        <v/>
      </c>
      <c r="I51" s="363" t="s">
        <v>158</v>
      </c>
      <c r="J51" s="364"/>
      <c r="K51" s="365"/>
      <c r="L51" s="362">
        <v>0.0</v>
      </c>
      <c r="M51" s="365" t="s">
        <v>111</v>
      </c>
      <c r="N51" s="115" t="s">
        <v>113</v>
      </c>
      <c r="O51" s="362" t="str">
        <f>IF(G51="","",G51*Resumen!$S$11)</f>
        <v/>
      </c>
      <c r="P51" s="362" t="str">
        <f>IF(G51="","",(G51-G51*Resumen!$S$11)/Resumen!$S$12)</f>
        <v/>
      </c>
      <c r="Q51" s="362" t="str">
        <f>IF(G51="","",((G51-G51*Resumen!$S$11)/Resumen!$S$12)*((1+Resumen!$S$13)*((1+Resumen!$S$13)^Resumen!$S$12-1)/Resumen!$S$13))</f>
        <v/>
      </c>
      <c r="R51" s="362" t="str">
        <f t="shared" si="7"/>
        <v/>
      </c>
      <c r="S51" s="366">
        <v>2.0</v>
      </c>
    </row>
    <row r="52" ht="25.5" customHeight="1">
      <c r="A52" s="398" t="s">
        <v>238</v>
      </c>
      <c r="B52" s="398" t="s">
        <v>322</v>
      </c>
      <c r="C52" s="398" t="s">
        <v>144</v>
      </c>
      <c r="D52" s="399" t="s">
        <v>327</v>
      </c>
      <c r="E52" s="400" t="s">
        <v>111</v>
      </c>
      <c r="F52" s="401">
        <v>450.0</v>
      </c>
      <c r="G52" s="402">
        <f t="shared" ref="G52:G53" si="13">ROUND(F52*$U$6,0)</f>
        <v>16500</v>
      </c>
      <c r="H52" s="403">
        <f>IF(G52="","",G52*Resumen!$G$6)</f>
        <v>24997500</v>
      </c>
      <c r="I52" s="398" t="s">
        <v>158</v>
      </c>
      <c r="J52" s="404"/>
      <c r="K52" s="399"/>
      <c r="L52" s="403">
        <v>0.0</v>
      </c>
      <c r="M52" s="399" t="s">
        <v>111</v>
      </c>
      <c r="N52" s="115" t="s">
        <v>113</v>
      </c>
      <c r="O52" s="403">
        <f>IF(G52="","",G52*Resumen!$S$11)</f>
        <v>8250</v>
      </c>
      <c r="P52" s="403">
        <f>IF(G52="","",(G52-G52*Resumen!$S$11)/Resumen!$S$12)</f>
        <v>687.5</v>
      </c>
      <c r="Q52" s="403">
        <f>IF(G52="","",((G52-G52*Resumen!$S$11)/Resumen!$S$12)*((1+Resumen!$S$13)*((1+Resumen!$S$13)^Resumen!$S$12-1)/Resumen!$S$13))</f>
        <v>10049.73093</v>
      </c>
      <c r="R52" s="403">
        <f t="shared" si="7"/>
        <v>18299.73093</v>
      </c>
    </row>
    <row r="53" ht="25.5" customHeight="1">
      <c r="A53" s="398" t="s">
        <v>238</v>
      </c>
      <c r="B53" s="398" t="s">
        <v>322</v>
      </c>
      <c r="C53" s="398" t="s">
        <v>150</v>
      </c>
      <c r="D53" s="399" t="s">
        <v>328</v>
      </c>
      <c r="E53" s="400" t="s">
        <v>111</v>
      </c>
      <c r="F53" s="401">
        <v>450.0</v>
      </c>
      <c r="G53" s="402">
        <f t="shared" si="13"/>
        <v>16500</v>
      </c>
      <c r="H53" s="403">
        <f>IF(G53="","",G53*Resumen!$G$6)</f>
        <v>24997500</v>
      </c>
      <c r="I53" s="398" t="s">
        <v>158</v>
      </c>
      <c r="J53" s="404"/>
      <c r="K53" s="399"/>
      <c r="L53" s="403">
        <v>0.0</v>
      </c>
      <c r="M53" s="399" t="s">
        <v>111</v>
      </c>
      <c r="N53" s="115" t="s">
        <v>113</v>
      </c>
      <c r="O53" s="403">
        <f>IF(G53="","",G53*Resumen!$S$11)</f>
        <v>8250</v>
      </c>
      <c r="P53" s="403">
        <f>IF(G53="","",(G53-G53*Resumen!$S$11)/Resumen!$S$12)</f>
        <v>687.5</v>
      </c>
      <c r="Q53" s="403">
        <f>IF(G53="","",((G53-G53*Resumen!$S$11)/Resumen!$S$12)*((1+Resumen!$S$13)*((1+Resumen!$S$13)^Resumen!$S$12-1)/Resumen!$S$13))</f>
        <v>10049.73093</v>
      </c>
      <c r="R53" s="403">
        <f t="shared" si="7"/>
        <v>18299.73093</v>
      </c>
    </row>
    <row r="54" ht="25.5" customHeight="1">
      <c r="A54" s="392" t="s">
        <v>238</v>
      </c>
      <c r="B54" s="392" t="s">
        <v>329</v>
      </c>
      <c r="C54" s="357" t="s">
        <v>106</v>
      </c>
      <c r="D54" s="365" t="s">
        <v>330</v>
      </c>
      <c r="E54" s="359">
        <v>900.0</v>
      </c>
      <c r="F54" s="360"/>
      <c r="G54" s="361"/>
      <c r="H54" s="362" t="str">
        <f>IF(G54="","",G54*Resumen!$G$6)</f>
        <v/>
      </c>
      <c r="I54" s="363" t="s">
        <v>158</v>
      </c>
      <c r="J54" s="364"/>
      <c r="K54" s="365"/>
      <c r="L54" s="362">
        <v>0.0</v>
      </c>
      <c r="M54" s="365" t="s">
        <v>111</v>
      </c>
      <c r="N54" s="115" t="s">
        <v>113</v>
      </c>
      <c r="O54" s="362" t="str">
        <f>IF(G54="","",G54*Resumen!$S$11)</f>
        <v/>
      </c>
      <c r="P54" s="362" t="str">
        <f>IF(G54="","",(G54-G54*Resumen!$S$11)/Resumen!$S$12)</f>
        <v/>
      </c>
      <c r="Q54" s="362" t="str">
        <f>IF(G54="","",((G54-G54*Resumen!$S$11)/Resumen!$S$12)*((1+Resumen!$S$13)*((1+Resumen!$S$13)^Resumen!$S$12-1)/Resumen!$S$13))</f>
        <v/>
      </c>
      <c r="R54" s="362" t="str">
        <f t="shared" si="7"/>
        <v/>
      </c>
      <c r="S54" s="366">
        <v>2.0</v>
      </c>
    </row>
    <row r="55" ht="25.5" customHeight="1">
      <c r="A55" s="405" t="s">
        <v>238</v>
      </c>
      <c r="B55" s="405" t="s">
        <v>329</v>
      </c>
      <c r="C55" s="405" t="s">
        <v>144</v>
      </c>
      <c r="D55" s="406" t="s">
        <v>331</v>
      </c>
      <c r="E55" s="407" t="s">
        <v>111</v>
      </c>
      <c r="F55" s="408">
        <v>450.0</v>
      </c>
      <c r="G55" s="409">
        <f t="shared" ref="G55:G56" si="14">ROUND(F55*$U$6,0)</f>
        <v>16500</v>
      </c>
      <c r="H55" s="410">
        <f>IF(G55="","",G55*Resumen!$G$6)</f>
        <v>24997500</v>
      </c>
      <c r="I55" s="405" t="s">
        <v>158</v>
      </c>
      <c r="J55" s="411"/>
      <c r="K55" s="406"/>
      <c r="L55" s="410">
        <v>0.0</v>
      </c>
      <c r="M55" s="406" t="s">
        <v>111</v>
      </c>
      <c r="N55" s="115" t="s">
        <v>113</v>
      </c>
      <c r="O55" s="410">
        <f>IF(G55="","",G55*Resumen!$S$11)</f>
        <v>8250</v>
      </c>
      <c r="P55" s="410">
        <f>IF(G55="","",(G55-G55*Resumen!$S$11)/Resumen!$S$12)</f>
        <v>687.5</v>
      </c>
      <c r="Q55" s="410">
        <f>IF(G55="","",((G55-G55*Resumen!$S$11)/Resumen!$S$12)*((1+Resumen!$S$13)*((1+Resumen!$S$13)^Resumen!$S$12-1)/Resumen!$S$13))</f>
        <v>10049.73093</v>
      </c>
      <c r="R55" s="410">
        <f t="shared" si="7"/>
        <v>18299.73093</v>
      </c>
    </row>
    <row r="56" ht="25.5" customHeight="1">
      <c r="A56" s="405" t="s">
        <v>238</v>
      </c>
      <c r="B56" s="405" t="s">
        <v>329</v>
      </c>
      <c r="C56" s="405" t="s">
        <v>150</v>
      </c>
      <c r="D56" s="406" t="s">
        <v>332</v>
      </c>
      <c r="E56" s="407" t="s">
        <v>111</v>
      </c>
      <c r="F56" s="408">
        <v>450.0</v>
      </c>
      <c r="G56" s="409">
        <f t="shared" si="14"/>
        <v>16500</v>
      </c>
      <c r="H56" s="410">
        <f>IF(G56="","",G56*Resumen!$G$6)</f>
        <v>24997500</v>
      </c>
      <c r="I56" s="405" t="s">
        <v>158</v>
      </c>
      <c r="J56" s="411"/>
      <c r="K56" s="406"/>
      <c r="L56" s="410">
        <v>0.0</v>
      </c>
      <c r="M56" s="406" t="s">
        <v>111</v>
      </c>
      <c r="N56" s="115" t="s">
        <v>113</v>
      </c>
      <c r="O56" s="410">
        <f>IF(G56="","",G56*Resumen!$S$11)</f>
        <v>8250</v>
      </c>
      <c r="P56" s="410">
        <f>IF(G56="","",(G56-G56*Resumen!$S$11)/Resumen!$S$12)</f>
        <v>687.5</v>
      </c>
      <c r="Q56" s="410">
        <f>IF(G56="","",((G56-G56*Resumen!$S$11)/Resumen!$S$12)*((1+Resumen!$S$13)*((1+Resumen!$S$13)^Resumen!$S$12-1)/Resumen!$S$13))</f>
        <v>10049.73093</v>
      </c>
      <c r="R56" s="410">
        <f t="shared" si="7"/>
        <v>18299.73093</v>
      </c>
    </row>
    <row r="57" ht="25.5" customHeight="1">
      <c r="A57" s="392" t="s">
        <v>238</v>
      </c>
      <c r="B57" s="392" t="s">
        <v>334</v>
      </c>
      <c r="C57" s="357" t="s">
        <v>106</v>
      </c>
      <c r="D57" s="365" t="s">
        <v>335</v>
      </c>
      <c r="E57" s="359">
        <v>1166.56</v>
      </c>
      <c r="F57" s="360"/>
      <c r="G57" s="361"/>
      <c r="H57" s="362" t="str">
        <f>IF(G57="","",G57*Resumen!$G$6)</f>
        <v/>
      </c>
      <c r="I57" s="363" t="s">
        <v>158</v>
      </c>
      <c r="J57" s="364"/>
      <c r="K57" s="365"/>
      <c r="L57" s="362">
        <v>0.0</v>
      </c>
      <c r="M57" s="365" t="s">
        <v>111</v>
      </c>
      <c r="N57" s="115" t="s">
        <v>113</v>
      </c>
      <c r="O57" s="362" t="str">
        <f>IF(G57="","",G57*Resumen!$S$11)</f>
        <v/>
      </c>
      <c r="P57" s="362" t="str">
        <f>IF(G57="","",(G57-G57*Resumen!$S$11)/Resumen!$S$12)</f>
        <v/>
      </c>
      <c r="Q57" s="362" t="str">
        <f>IF(G57="","",((G57-G57*Resumen!$S$11)/Resumen!$S$12)*((1+Resumen!$S$13)*((1+Resumen!$S$13)^Resumen!$S$12-1)/Resumen!$S$13))</f>
        <v/>
      </c>
      <c r="R57" s="362" t="str">
        <f t="shared" si="7"/>
        <v/>
      </c>
      <c r="S57" s="366">
        <v>2.0</v>
      </c>
    </row>
    <row r="58" ht="25.5" customHeight="1">
      <c r="A58" s="398" t="s">
        <v>238</v>
      </c>
      <c r="B58" s="398" t="s">
        <v>334</v>
      </c>
      <c r="C58" s="398" t="s">
        <v>144</v>
      </c>
      <c r="D58" s="399" t="s">
        <v>336</v>
      </c>
      <c r="E58" s="400" t="s">
        <v>111</v>
      </c>
      <c r="F58" s="401">
        <v>583.28</v>
      </c>
      <c r="G58" s="402">
        <f t="shared" ref="G58:G59" si="15">ROUND(F58*$U$6,0)</f>
        <v>21387</v>
      </c>
      <c r="H58" s="403">
        <f>IF(G58="","",G58*Resumen!$G$6)</f>
        <v>32401305</v>
      </c>
      <c r="I58" s="398" t="s">
        <v>158</v>
      </c>
      <c r="J58" s="404"/>
      <c r="K58" s="399"/>
      <c r="L58" s="403">
        <v>0.0</v>
      </c>
      <c r="M58" s="399" t="s">
        <v>111</v>
      </c>
      <c r="N58" s="115" t="s">
        <v>113</v>
      </c>
      <c r="O58" s="403">
        <f>IF(G58="","",G58*Resumen!$S$11)</f>
        <v>10693.5</v>
      </c>
      <c r="P58" s="403">
        <f>IF(G58="","",(G58-G58*Resumen!$S$11)/Resumen!$S$12)</f>
        <v>891.125</v>
      </c>
      <c r="Q58" s="403">
        <f>IF(G58="","",((G58-G58*Resumen!$S$11)/Resumen!$S$12)*((1+Resumen!$S$13)*((1+Resumen!$S$13)^Resumen!$S$12-1)/Resumen!$S$13))</f>
        <v>13026.27851</v>
      </c>
      <c r="R58" s="403">
        <f t="shared" si="7"/>
        <v>23719.77851</v>
      </c>
    </row>
    <row r="59" ht="25.5" customHeight="1">
      <c r="A59" s="398" t="s">
        <v>238</v>
      </c>
      <c r="B59" s="398" t="s">
        <v>334</v>
      </c>
      <c r="C59" s="398" t="s">
        <v>150</v>
      </c>
      <c r="D59" s="399" t="s">
        <v>337</v>
      </c>
      <c r="E59" s="400" t="s">
        <v>111</v>
      </c>
      <c r="F59" s="401">
        <v>583.28</v>
      </c>
      <c r="G59" s="402">
        <f t="shared" si="15"/>
        <v>21387</v>
      </c>
      <c r="H59" s="403">
        <f>IF(G59="","",G59*Resumen!$G$6)</f>
        <v>32401305</v>
      </c>
      <c r="I59" s="398" t="s">
        <v>158</v>
      </c>
      <c r="J59" s="404"/>
      <c r="K59" s="399"/>
      <c r="L59" s="403">
        <v>0.0</v>
      </c>
      <c r="M59" s="399" t="s">
        <v>111</v>
      </c>
      <c r="N59" s="115" t="s">
        <v>113</v>
      </c>
      <c r="O59" s="403">
        <f>IF(G59="","",G59*Resumen!$S$11)</f>
        <v>10693.5</v>
      </c>
      <c r="P59" s="403">
        <f>IF(G59="","",(G59-G59*Resumen!$S$11)/Resumen!$S$12)</f>
        <v>891.125</v>
      </c>
      <c r="Q59" s="403">
        <f>IF(G59="","",((G59-G59*Resumen!$S$11)/Resumen!$S$12)*((1+Resumen!$S$13)*((1+Resumen!$S$13)^Resumen!$S$12-1)/Resumen!$S$13))</f>
        <v>13026.27851</v>
      </c>
      <c r="R59" s="403">
        <f t="shared" si="7"/>
        <v>23719.77851</v>
      </c>
    </row>
    <row r="60" ht="25.5" customHeight="1">
      <c r="A60" s="414" t="s">
        <v>238</v>
      </c>
      <c r="B60" s="415" t="s">
        <v>338</v>
      </c>
      <c r="C60" s="416" t="s">
        <v>106</v>
      </c>
      <c r="D60" s="417" t="s">
        <v>339</v>
      </c>
      <c r="E60" s="418">
        <v>900.0</v>
      </c>
      <c r="F60" s="419"/>
      <c r="G60" s="420"/>
      <c r="H60" s="421" t="str">
        <f>IF(G60="","",G60*Resumen!$G$6)</f>
        <v/>
      </c>
      <c r="I60" s="422" t="s">
        <v>128</v>
      </c>
      <c r="J60" s="423" t="s">
        <v>341</v>
      </c>
      <c r="K60" s="365"/>
      <c r="L60" s="362">
        <v>0.0</v>
      </c>
      <c r="M60" s="365" t="s">
        <v>111</v>
      </c>
      <c r="N60" s="115" t="s">
        <v>113</v>
      </c>
      <c r="O60" s="362" t="str">
        <f>IF(G60="","",G60*Resumen!$S$11)</f>
        <v/>
      </c>
      <c r="P60" s="362" t="str">
        <f>IF(G60="","",(G60-G60*Resumen!$S$11)/Resumen!$S$12)</f>
        <v/>
      </c>
      <c r="Q60" s="362" t="str">
        <f>IF(G60="","",((G60-G60*Resumen!$S$11)/Resumen!$S$12)*((1+Resumen!$S$13)*((1+Resumen!$S$13)^Resumen!$S$12-1)/Resumen!$S$13))</f>
        <v/>
      </c>
      <c r="R60" s="362" t="str">
        <f t="shared" si="7"/>
        <v/>
      </c>
      <c r="S60" s="366">
        <v>2.0</v>
      </c>
    </row>
    <row r="61" ht="25.5" customHeight="1">
      <c r="A61" s="414" t="s">
        <v>238</v>
      </c>
      <c r="B61" s="414" t="s">
        <v>344</v>
      </c>
      <c r="C61" s="416" t="s">
        <v>345</v>
      </c>
      <c r="D61" s="424" t="s">
        <v>346</v>
      </c>
      <c r="E61" s="418">
        <v>900.0</v>
      </c>
      <c r="F61" s="419"/>
      <c r="G61" s="420"/>
      <c r="H61" s="421" t="str">
        <f>IF(G61="","",G61*Resumen!$G$6)</f>
        <v/>
      </c>
      <c r="I61" s="422" t="s">
        <v>128</v>
      </c>
      <c r="J61" s="423" t="s">
        <v>341</v>
      </c>
      <c r="K61" s="365"/>
      <c r="L61" s="362">
        <v>0.0</v>
      </c>
      <c r="M61" s="365" t="s">
        <v>111</v>
      </c>
      <c r="N61" s="115" t="s">
        <v>113</v>
      </c>
      <c r="O61" s="362" t="str">
        <f>IF(G61="","",G61*Resumen!$S$11)</f>
        <v/>
      </c>
      <c r="P61" s="362" t="str">
        <f>IF(G61="","",(G61-G61*Resumen!$S$11)/Resumen!$S$12)</f>
        <v/>
      </c>
      <c r="Q61" s="362" t="str">
        <f>IF(G61="","",((G61-G61*Resumen!$S$11)/Resumen!$S$12)*((1+Resumen!$S$13)*((1+Resumen!$S$13)^Resumen!$S$12-1)/Resumen!$S$13))</f>
        <v/>
      </c>
      <c r="R61" s="362" t="str">
        <f t="shared" si="7"/>
        <v/>
      </c>
      <c r="S61" s="366">
        <v>2.0</v>
      </c>
    </row>
    <row r="62" ht="25.5" customHeight="1">
      <c r="A62" s="392" t="s">
        <v>238</v>
      </c>
      <c r="B62" s="392" t="s">
        <v>347</v>
      </c>
      <c r="C62" s="357" t="s">
        <v>106</v>
      </c>
      <c r="D62" s="365" t="s">
        <v>348</v>
      </c>
      <c r="E62" s="359">
        <v>1800.2</v>
      </c>
      <c r="F62" s="360"/>
      <c r="G62" s="361"/>
      <c r="H62" s="362" t="str">
        <f>IF(G62="","",G62*Resumen!$G$6)</f>
        <v/>
      </c>
      <c r="I62" s="363" t="s">
        <v>158</v>
      </c>
      <c r="J62" s="365"/>
      <c r="K62" s="365"/>
      <c r="L62" s="362">
        <v>0.0</v>
      </c>
      <c r="M62" s="365" t="s">
        <v>111</v>
      </c>
      <c r="N62" s="115" t="s">
        <v>113</v>
      </c>
      <c r="O62" s="362" t="str">
        <f>IF(G62="","",G62*Resumen!$S$11)</f>
        <v/>
      </c>
      <c r="P62" s="362" t="str">
        <f>IF(G62="","",(G62-G62*Resumen!$S$11)/Resumen!$S$12)</f>
        <v/>
      </c>
      <c r="Q62" s="362" t="str">
        <f>IF(G62="","",((G62-G62*Resumen!$S$11)/Resumen!$S$12)*((1+Resumen!$S$13)*((1+Resumen!$S$13)^Resumen!$S$12-1)/Resumen!$S$13))</f>
        <v/>
      </c>
      <c r="R62" s="362" t="str">
        <f t="shared" si="7"/>
        <v/>
      </c>
      <c r="S62" s="366">
        <v>4.0</v>
      </c>
    </row>
    <row r="63" ht="25.5" customHeight="1">
      <c r="A63" s="443" t="s">
        <v>238</v>
      </c>
      <c r="B63" s="443" t="s">
        <v>347</v>
      </c>
      <c r="C63" s="443" t="s">
        <v>359</v>
      </c>
      <c r="D63" s="445" t="s">
        <v>361</v>
      </c>
      <c r="E63" s="446" t="s">
        <v>111</v>
      </c>
      <c r="F63" s="447">
        <v>900.0</v>
      </c>
      <c r="G63" s="448"/>
      <c r="H63" s="450" t="str">
        <f>IF(G63="","",G63*Resumen!$G$6)</f>
        <v/>
      </c>
      <c r="I63" s="452" t="s">
        <v>158</v>
      </c>
      <c r="J63" s="453"/>
      <c r="K63" s="445"/>
      <c r="L63" s="450">
        <v>0.0</v>
      </c>
      <c r="M63" s="445" t="s">
        <v>111</v>
      </c>
      <c r="N63" s="115" t="s">
        <v>113</v>
      </c>
      <c r="O63" s="450" t="str">
        <f>IF(G63="","",G63*Resumen!$S$11)</f>
        <v/>
      </c>
      <c r="P63" s="450" t="str">
        <f>IF(G63="","",(G63-G63*Resumen!$S$11)/Resumen!$S$12)</f>
        <v/>
      </c>
      <c r="Q63" s="450" t="str">
        <f>IF(G63="","",((G63-G63*Resumen!$S$11)/Resumen!$S$12)*((1+Resumen!$S$13)*((1+Resumen!$S$13)^Resumen!$S$12-1)/Resumen!$S$13))</f>
        <v/>
      </c>
      <c r="R63" s="450" t="str">
        <f t="shared" si="7"/>
        <v/>
      </c>
    </row>
    <row r="64" ht="25.5" customHeight="1">
      <c r="A64" s="405" t="s">
        <v>238</v>
      </c>
      <c r="B64" s="405" t="s">
        <v>347</v>
      </c>
      <c r="C64" s="405" t="s">
        <v>380</v>
      </c>
      <c r="D64" s="406" t="s">
        <v>383</v>
      </c>
      <c r="E64" s="407" t="s">
        <v>111</v>
      </c>
      <c r="F64" s="408">
        <v>450.0</v>
      </c>
      <c r="G64" s="409">
        <f t="shared" ref="G64:G65" si="16">ROUND(F64*$U$6,0)</f>
        <v>16500</v>
      </c>
      <c r="H64" s="410">
        <f>IF(G64="","",G64*Resumen!$G$6)</f>
        <v>24997500</v>
      </c>
      <c r="I64" s="405" t="s">
        <v>158</v>
      </c>
      <c r="J64" s="411"/>
      <c r="K64" s="406"/>
      <c r="L64" s="410">
        <v>0.0</v>
      </c>
      <c r="M64" s="406" t="s">
        <v>111</v>
      </c>
      <c r="N64" s="115" t="s">
        <v>113</v>
      </c>
      <c r="O64" s="410">
        <f>IF(G64="","",G64*Resumen!$S$11)</f>
        <v>8250</v>
      </c>
      <c r="P64" s="410">
        <f>IF(G64="","",(G64-G64*Resumen!$S$11)/Resumen!$S$12)</f>
        <v>687.5</v>
      </c>
      <c r="Q64" s="410">
        <f>IF(G64="","",((G64-G64*Resumen!$S$11)/Resumen!$S$12)*((1+Resumen!$S$13)*((1+Resumen!$S$13)^Resumen!$S$12-1)/Resumen!$S$13))</f>
        <v>10049.73093</v>
      </c>
      <c r="R64" s="410">
        <f t="shared" si="7"/>
        <v>18299.73093</v>
      </c>
    </row>
    <row r="65" ht="25.5" customHeight="1">
      <c r="A65" s="405" t="s">
        <v>238</v>
      </c>
      <c r="B65" s="405" t="s">
        <v>347</v>
      </c>
      <c r="C65" s="405" t="s">
        <v>390</v>
      </c>
      <c r="D65" s="406" t="s">
        <v>391</v>
      </c>
      <c r="E65" s="407" t="s">
        <v>111</v>
      </c>
      <c r="F65" s="408">
        <v>450.0</v>
      </c>
      <c r="G65" s="409">
        <f t="shared" si="16"/>
        <v>16500</v>
      </c>
      <c r="H65" s="410">
        <f>IF(G65="","",G65*Resumen!$G$6)</f>
        <v>24997500</v>
      </c>
      <c r="I65" s="405" t="s">
        <v>158</v>
      </c>
      <c r="J65" s="411"/>
      <c r="K65" s="406"/>
      <c r="L65" s="410">
        <v>0.0</v>
      </c>
      <c r="M65" s="406" t="s">
        <v>111</v>
      </c>
      <c r="N65" s="115" t="s">
        <v>113</v>
      </c>
      <c r="O65" s="410">
        <f>IF(G65="","",G65*Resumen!$S$11)</f>
        <v>8250</v>
      </c>
      <c r="P65" s="410">
        <f>IF(G65="","",(G65-G65*Resumen!$S$11)/Resumen!$S$12)</f>
        <v>687.5</v>
      </c>
      <c r="Q65" s="410">
        <f>IF(G65="","",((G65-G65*Resumen!$S$11)/Resumen!$S$12)*((1+Resumen!$S$13)*((1+Resumen!$S$13)^Resumen!$S$12-1)/Resumen!$S$13))</f>
        <v>10049.73093</v>
      </c>
      <c r="R65" s="410">
        <f t="shared" si="7"/>
        <v>18299.73093</v>
      </c>
    </row>
    <row r="66" ht="25.5" customHeight="1">
      <c r="A66" s="443" t="s">
        <v>238</v>
      </c>
      <c r="B66" s="443" t="s">
        <v>347</v>
      </c>
      <c r="C66" s="443" t="s">
        <v>404</v>
      </c>
      <c r="D66" s="445" t="s">
        <v>405</v>
      </c>
      <c r="E66" s="446" t="s">
        <v>111</v>
      </c>
      <c r="F66" s="447">
        <v>900.0</v>
      </c>
      <c r="G66" s="448"/>
      <c r="H66" s="450" t="str">
        <f>IF(G66="","",G66*Resumen!$G$6)</f>
        <v/>
      </c>
      <c r="I66" s="452" t="s">
        <v>158</v>
      </c>
      <c r="J66" s="459"/>
      <c r="K66" s="445"/>
      <c r="L66" s="450">
        <v>0.0</v>
      </c>
      <c r="M66" s="445" t="s">
        <v>111</v>
      </c>
      <c r="N66" s="115" t="s">
        <v>113</v>
      </c>
      <c r="O66" s="450" t="str">
        <f>IF(G66="","",G66*Resumen!$S$11)</f>
        <v/>
      </c>
      <c r="P66" s="450" t="str">
        <f>IF(G66="","",(G66-G66*Resumen!$S$11)/Resumen!$S$12)</f>
        <v/>
      </c>
      <c r="Q66" s="450" t="str">
        <f>IF(G66="","",((G66-G66*Resumen!$S$11)/Resumen!$S$12)*((1+Resumen!$S$13)*((1+Resumen!$S$13)^Resumen!$S$12-1)/Resumen!$S$13))</f>
        <v/>
      </c>
      <c r="R66" s="450" t="str">
        <f t="shared" si="7"/>
        <v/>
      </c>
    </row>
    <row r="67" ht="25.5" customHeight="1">
      <c r="A67" s="405" t="s">
        <v>238</v>
      </c>
      <c r="B67" s="405" t="s">
        <v>347</v>
      </c>
      <c r="C67" s="405" t="s">
        <v>416</v>
      </c>
      <c r="D67" s="406" t="s">
        <v>417</v>
      </c>
      <c r="E67" s="407" t="s">
        <v>111</v>
      </c>
      <c r="F67" s="408">
        <v>450.0</v>
      </c>
      <c r="G67" s="409">
        <f t="shared" ref="G67:G68" si="17">ROUND(F67*$U$6,0)</f>
        <v>16500</v>
      </c>
      <c r="H67" s="410">
        <f>IF(G67="","",G67*Resumen!$G$6)</f>
        <v>24997500</v>
      </c>
      <c r="I67" s="405" t="s">
        <v>158</v>
      </c>
      <c r="J67" s="411"/>
      <c r="K67" s="406"/>
      <c r="L67" s="410">
        <v>0.0</v>
      </c>
      <c r="M67" s="406" t="s">
        <v>111</v>
      </c>
      <c r="N67" s="115" t="s">
        <v>113</v>
      </c>
      <c r="O67" s="410">
        <f>IF(G67="","",G67*Resumen!$S$11)</f>
        <v>8250</v>
      </c>
      <c r="P67" s="410">
        <f>IF(G67="","",(G67-G67*Resumen!$S$11)/Resumen!$S$12)</f>
        <v>687.5</v>
      </c>
      <c r="Q67" s="410">
        <f>IF(G67="","",((G67-G67*Resumen!$S$11)/Resumen!$S$12)*((1+Resumen!$S$13)*((1+Resumen!$S$13)^Resumen!$S$12-1)/Resumen!$S$13))</f>
        <v>10049.73093</v>
      </c>
      <c r="R67" s="410">
        <f t="shared" si="7"/>
        <v>18299.73093</v>
      </c>
    </row>
    <row r="68" ht="25.5" customHeight="1">
      <c r="A68" s="405" t="s">
        <v>238</v>
      </c>
      <c r="B68" s="405" t="s">
        <v>347</v>
      </c>
      <c r="C68" s="405" t="s">
        <v>423</v>
      </c>
      <c r="D68" s="406" t="s">
        <v>424</v>
      </c>
      <c r="E68" s="407" t="s">
        <v>111</v>
      </c>
      <c r="F68" s="408">
        <v>450.0</v>
      </c>
      <c r="G68" s="409">
        <f t="shared" si="17"/>
        <v>16500</v>
      </c>
      <c r="H68" s="410">
        <f>IF(G68="","",G68*Resumen!$G$6)</f>
        <v>24997500</v>
      </c>
      <c r="I68" s="405" t="s">
        <v>158</v>
      </c>
      <c r="J68" s="411"/>
      <c r="K68" s="406"/>
      <c r="L68" s="410">
        <v>0.0</v>
      </c>
      <c r="M68" s="406" t="s">
        <v>111</v>
      </c>
      <c r="N68" s="115" t="s">
        <v>113</v>
      </c>
      <c r="O68" s="410">
        <f>IF(G68="","",G68*Resumen!$S$11)</f>
        <v>8250</v>
      </c>
      <c r="P68" s="410">
        <f>IF(G68="","",(G68-G68*Resumen!$S$11)/Resumen!$S$12)</f>
        <v>687.5</v>
      </c>
      <c r="Q68" s="410">
        <f>IF(G68="","",((G68-G68*Resumen!$S$11)/Resumen!$S$12)*((1+Resumen!$S$13)*((1+Resumen!$S$13)^Resumen!$S$12-1)/Resumen!$S$13))</f>
        <v>10049.73093</v>
      </c>
      <c r="R68" s="410">
        <f t="shared" si="7"/>
        <v>18299.73093</v>
      </c>
    </row>
    <row r="69" ht="34.5" customHeight="1">
      <c r="A69" s="470"/>
      <c r="B69" s="471"/>
      <c r="C69" s="471"/>
      <c r="D69" s="471"/>
      <c r="E69" s="471"/>
      <c r="F69" s="472"/>
      <c r="G69" s="471"/>
      <c r="H69" s="471"/>
      <c r="I69" s="473"/>
      <c r="J69" s="471"/>
      <c r="K69" s="471"/>
      <c r="L69" s="471"/>
      <c r="M69" s="471"/>
      <c r="N69" s="115" t="s">
        <v>113</v>
      </c>
      <c r="O69" s="474"/>
      <c r="P69" s="474"/>
      <c r="Q69" s="474"/>
      <c r="R69" s="474"/>
    </row>
    <row r="70" ht="25.5" customHeight="1">
      <c r="A70" s="475" t="s">
        <v>238</v>
      </c>
      <c r="B70" s="475" t="s">
        <v>426</v>
      </c>
      <c r="C70" s="476" t="s">
        <v>106</v>
      </c>
      <c r="D70" s="477" t="s">
        <v>401</v>
      </c>
      <c r="E70" s="478">
        <v>1854.3</v>
      </c>
      <c r="F70" s="479"/>
      <c r="G70" s="480"/>
      <c r="H70" s="481" t="str">
        <f>IF(G70="","",G70*Resumen!$G$6)</f>
        <v/>
      </c>
      <c r="I70" s="482" t="s">
        <v>128</v>
      </c>
      <c r="J70" s="423" t="s">
        <v>341</v>
      </c>
      <c r="K70" s="477"/>
      <c r="L70" s="481">
        <v>0.0</v>
      </c>
      <c r="M70" s="477" t="s">
        <v>111</v>
      </c>
      <c r="N70" s="483" t="s">
        <v>113</v>
      </c>
      <c r="O70" s="481" t="str">
        <f>IF(G70="","",G70*Resumen!$S$11)</f>
        <v/>
      </c>
      <c r="P70" s="481" t="str">
        <f>IF(G70="","",(G70-G70*Resumen!$S$11)/Resumen!$S$12)</f>
        <v/>
      </c>
      <c r="Q70" s="481" t="str">
        <f>IF(G70="","",((G70-G70*Resumen!$S$11)/Resumen!$S$12)*((1+Resumen!$S$13)*((1+Resumen!$S$13)^Resumen!$S$12-1)/Resumen!$S$13))</f>
        <v/>
      </c>
      <c r="R70" s="481" t="str">
        <f t="shared" ref="R70:R78" si="18">IF(G70="","",O70+Q70)</f>
        <v/>
      </c>
      <c r="S70" s="355"/>
      <c r="T70" s="355"/>
      <c r="U70" s="355"/>
      <c r="V70" s="355"/>
      <c r="W70" s="355"/>
      <c r="X70" s="355"/>
      <c r="Y70" s="355"/>
      <c r="Z70" s="355"/>
    </row>
    <row r="71" ht="25.5" customHeight="1">
      <c r="A71" s="356" t="s">
        <v>427</v>
      </c>
      <c r="B71" s="357" t="s">
        <v>428</v>
      </c>
      <c r="C71" s="392" t="s">
        <v>429</v>
      </c>
      <c r="D71" s="364" t="s">
        <v>430</v>
      </c>
      <c r="E71" s="484">
        <v>4955.03</v>
      </c>
      <c r="F71" s="360"/>
      <c r="G71" s="361"/>
      <c r="H71" s="362" t="str">
        <f>IF(G71="","",G71*Resumen!$G$6)</f>
        <v/>
      </c>
      <c r="I71" s="363" t="s">
        <v>158</v>
      </c>
      <c r="J71" s="364"/>
      <c r="K71" s="365"/>
      <c r="L71" s="362">
        <v>0.0</v>
      </c>
      <c r="M71" s="365" t="s">
        <v>111</v>
      </c>
      <c r="N71" s="115" t="s">
        <v>113</v>
      </c>
      <c r="O71" s="362" t="str">
        <f>IF(G71="","",G71*Resumen!$S$11)</f>
        <v/>
      </c>
      <c r="P71" s="362" t="str">
        <f>IF(G71="","",(G71-G71*Resumen!$S$11)/Resumen!$S$12)</f>
        <v/>
      </c>
      <c r="Q71" s="362" t="str">
        <f>IF(G71="","",((G71-G71*Resumen!$S$11)/Resumen!$S$12)*((1+Resumen!$S$13)*((1+Resumen!$S$13)^Resumen!$S$12-1)/Resumen!$S$13))</f>
        <v/>
      </c>
      <c r="R71" s="362" t="str">
        <f t="shared" si="18"/>
        <v/>
      </c>
      <c r="S71" s="366">
        <v>0.0</v>
      </c>
    </row>
    <row r="72" ht="25.5" customHeight="1">
      <c r="A72" s="405" t="s">
        <v>238</v>
      </c>
      <c r="B72" s="439" t="s">
        <v>428</v>
      </c>
      <c r="C72" s="405" t="s">
        <v>431</v>
      </c>
      <c r="D72" s="411" t="s">
        <v>432</v>
      </c>
      <c r="E72" s="449"/>
      <c r="F72" s="408">
        <v>2100.0</v>
      </c>
      <c r="G72" s="409">
        <f>U10*F72</f>
        <v>52500</v>
      </c>
      <c r="H72" s="485">
        <f>IF(G72="","",G72*Resumen!$G$6)</f>
        <v>79537500</v>
      </c>
      <c r="I72" s="438" t="s">
        <v>136</v>
      </c>
      <c r="J72" s="486" t="s">
        <v>433</v>
      </c>
      <c r="K72" s="406"/>
      <c r="L72" s="410">
        <v>0.0</v>
      </c>
      <c r="M72" s="406" t="s">
        <v>111</v>
      </c>
      <c r="N72" s="115" t="s">
        <v>113</v>
      </c>
      <c r="O72" s="410">
        <f>IF(G72="","",G72*Resumen!$S$11)</f>
        <v>26250</v>
      </c>
      <c r="P72" s="410">
        <f>IF(G72="","",(G72-G72*Resumen!$S$11)/Resumen!$S$12)</f>
        <v>2187.5</v>
      </c>
      <c r="Q72" s="410">
        <f>IF(G72="","",((G72-G72*Resumen!$S$11)/Resumen!$S$12)*((1+Resumen!$S$13)*((1+Resumen!$S$13)^Resumen!$S$12-1)/Resumen!$S$13))</f>
        <v>31976.41661</v>
      </c>
      <c r="R72" s="410">
        <f t="shared" si="18"/>
        <v>58226.41661</v>
      </c>
    </row>
    <row r="73" ht="25.5" customHeight="1">
      <c r="A73" s="405" t="s">
        <v>238</v>
      </c>
      <c r="B73" s="439" t="s">
        <v>428</v>
      </c>
      <c r="C73" s="405" t="s">
        <v>434</v>
      </c>
      <c r="D73" s="411" t="s">
        <v>435</v>
      </c>
      <c r="E73" s="449"/>
      <c r="F73" s="408">
        <v>2855.0</v>
      </c>
      <c r="G73" s="409">
        <f>F73*U10</f>
        <v>71375</v>
      </c>
      <c r="H73" s="485">
        <f>IF(G73="","",G73*Resumen!$G$6)</f>
        <v>108133125</v>
      </c>
      <c r="I73" s="438" t="s">
        <v>136</v>
      </c>
      <c r="J73" s="487"/>
      <c r="K73" s="406"/>
      <c r="L73" s="410">
        <v>0.0</v>
      </c>
      <c r="M73" s="406" t="s">
        <v>111</v>
      </c>
      <c r="N73" s="115" t="s">
        <v>113</v>
      </c>
      <c r="O73" s="410">
        <f>IF(G73="","",G73*Resumen!$S$11)</f>
        <v>35687.5</v>
      </c>
      <c r="P73" s="410">
        <f>IF(G73="","",(G73-G73*Resumen!$S$11)/Resumen!$S$12)</f>
        <v>2973.958333</v>
      </c>
      <c r="Q73" s="410">
        <f>IF(G73="","",((G73-G73*Resumen!$S$11)/Resumen!$S$12)*((1+Resumen!$S$13)*((1+Resumen!$S$13)^Resumen!$S$12-1)/Resumen!$S$13))</f>
        <v>43472.69972</v>
      </c>
      <c r="R73" s="410">
        <f t="shared" si="18"/>
        <v>79160.19972</v>
      </c>
    </row>
    <row r="74" ht="25.5" customHeight="1">
      <c r="A74" s="392" t="s">
        <v>238</v>
      </c>
      <c r="B74" s="392" t="s">
        <v>436</v>
      </c>
      <c r="C74" s="357" t="s">
        <v>106</v>
      </c>
      <c r="D74" s="365" t="s">
        <v>437</v>
      </c>
      <c r="E74" s="359">
        <v>1800.2</v>
      </c>
      <c r="F74" s="360"/>
      <c r="G74" s="361"/>
      <c r="H74" s="362" t="str">
        <f>IF(G74="","",G74*Resumen!$G$6)</f>
        <v/>
      </c>
      <c r="I74" s="363" t="s">
        <v>158</v>
      </c>
      <c r="J74" s="364"/>
      <c r="K74" s="365"/>
      <c r="L74" s="362">
        <v>0.0</v>
      </c>
      <c r="M74" s="365" t="s">
        <v>111</v>
      </c>
      <c r="N74" s="115" t="s">
        <v>113</v>
      </c>
      <c r="O74" s="362" t="str">
        <f>IF(G74="","",G74*Resumen!$S$11)</f>
        <v/>
      </c>
      <c r="P74" s="362" t="str">
        <f>IF(G74="","",(G74-G74*Resumen!$S$11)/Resumen!$S$12)</f>
        <v/>
      </c>
      <c r="Q74" s="362" t="str">
        <f>IF(G74="","",((G74-G74*Resumen!$S$11)/Resumen!$S$12)*((1+Resumen!$S$13)*((1+Resumen!$S$13)^Resumen!$S$12-1)/Resumen!$S$13))</f>
        <v/>
      </c>
      <c r="R74" s="362" t="str">
        <f t="shared" si="18"/>
        <v/>
      </c>
      <c r="S74" s="366">
        <v>4.0</v>
      </c>
    </row>
    <row r="75" ht="25.5" customHeight="1">
      <c r="A75" s="443" t="s">
        <v>238</v>
      </c>
      <c r="B75" s="488" t="s">
        <v>436</v>
      </c>
      <c r="C75" s="443" t="s">
        <v>359</v>
      </c>
      <c r="D75" s="459" t="s">
        <v>438</v>
      </c>
      <c r="E75" s="489" t="s">
        <v>111</v>
      </c>
      <c r="F75" s="408">
        <v>900.0</v>
      </c>
      <c r="G75" s="448"/>
      <c r="H75" s="450" t="str">
        <f>IF(G75="","",G75*Resumen!$G$6)</f>
        <v/>
      </c>
      <c r="I75" s="452" t="s">
        <v>136</v>
      </c>
      <c r="J75" s="459"/>
      <c r="K75" s="445"/>
      <c r="L75" s="450">
        <v>0.0</v>
      </c>
      <c r="M75" s="445" t="s">
        <v>111</v>
      </c>
      <c r="N75" s="115" t="s">
        <v>113</v>
      </c>
      <c r="O75" s="450" t="str">
        <f>IF(G75="","",G75*Resumen!$S$11)</f>
        <v/>
      </c>
      <c r="P75" s="450" t="str">
        <f>IF(G75="","",(G75-G75*Resumen!$S$11)/Resumen!$S$12)</f>
        <v/>
      </c>
      <c r="Q75" s="450" t="str">
        <f>IF(G75="","",((G75-G75*Resumen!$S$11)/Resumen!$S$12)*((1+Resumen!$S$13)*((1+Resumen!$S$13)^Resumen!$S$12-1)/Resumen!$S$13))</f>
        <v/>
      </c>
      <c r="R75" s="450" t="str">
        <f t="shared" si="18"/>
        <v/>
      </c>
    </row>
    <row r="76" ht="25.5" customHeight="1">
      <c r="A76" s="398" t="s">
        <v>238</v>
      </c>
      <c r="B76" s="490" t="s">
        <v>436</v>
      </c>
      <c r="C76" s="398" t="s">
        <v>380</v>
      </c>
      <c r="D76" s="404" t="s">
        <v>439</v>
      </c>
      <c r="E76" s="491"/>
      <c r="F76" s="401">
        <v>450.0</v>
      </c>
      <c r="G76" s="402">
        <f t="shared" ref="G76:G77" si="19">ROUND(F76*$U$6,0)</f>
        <v>16500</v>
      </c>
      <c r="H76" s="492">
        <f>IF(G76="","",G76*Resumen!$G$6)</f>
        <v>24997500</v>
      </c>
      <c r="I76" s="452" t="s">
        <v>136</v>
      </c>
      <c r="J76" s="459"/>
      <c r="K76" s="445"/>
      <c r="L76" s="450">
        <v>0.0</v>
      </c>
      <c r="M76" s="445" t="s">
        <v>111</v>
      </c>
      <c r="N76" s="115" t="s">
        <v>113</v>
      </c>
      <c r="O76" s="403">
        <f>IF(G76="","",G76*Resumen!$S$11)</f>
        <v>8250</v>
      </c>
      <c r="P76" s="403">
        <f>IF(G76="","",(G76-G76*Resumen!$S$11)/Resumen!$S$12)</f>
        <v>687.5</v>
      </c>
      <c r="Q76" s="403">
        <f>IF(G76="","",((G76-G76*Resumen!$S$11)/Resumen!$S$12)*((1+Resumen!$S$13)*((1+Resumen!$S$13)^Resumen!$S$12-1)/Resumen!$S$13))</f>
        <v>10049.73093</v>
      </c>
      <c r="R76" s="403">
        <f t="shared" si="18"/>
        <v>18299.73093</v>
      </c>
    </row>
    <row r="77" ht="25.5" customHeight="1">
      <c r="A77" s="398" t="s">
        <v>238</v>
      </c>
      <c r="B77" s="490" t="s">
        <v>436</v>
      </c>
      <c r="C77" s="398" t="s">
        <v>390</v>
      </c>
      <c r="D77" s="404" t="s">
        <v>440</v>
      </c>
      <c r="E77" s="491"/>
      <c r="F77" s="401">
        <v>450.0</v>
      </c>
      <c r="G77" s="402">
        <f t="shared" si="19"/>
        <v>16500</v>
      </c>
      <c r="H77" s="492">
        <f>IF(G77="","",G77*Resumen!$G$6)</f>
        <v>24997500</v>
      </c>
      <c r="I77" s="452" t="s">
        <v>136</v>
      </c>
      <c r="J77" s="459"/>
      <c r="K77" s="445"/>
      <c r="L77" s="450">
        <v>0.0</v>
      </c>
      <c r="M77" s="445" t="s">
        <v>111</v>
      </c>
      <c r="N77" s="115" t="s">
        <v>113</v>
      </c>
      <c r="O77" s="403">
        <f>IF(G77="","",G77*Resumen!$S$11)</f>
        <v>8250</v>
      </c>
      <c r="P77" s="403">
        <f>IF(G77="","",(G77-G77*Resumen!$S$11)/Resumen!$S$12)</f>
        <v>687.5</v>
      </c>
      <c r="Q77" s="403">
        <f>IF(G77="","",((G77-G77*Resumen!$S$11)/Resumen!$S$12)*((1+Resumen!$S$13)*((1+Resumen!$S$13)^Resumen!$S$12-1)/Resumen!$S$13))</f>
        <v>10049.73093</v>
      </c>
      <c r="R77" s="403">
        <f t="shared" si="18"/>
        <v>18299.73093</v>
      </c>
    </row>
    <row r="78" ht="25.5" customHeight="1">
      <c r="A78" s="443" t="s">
        <v>238</v>
      </c>
      <c r="B78" s="488" t="s">
        <v>436</v>
      </c>
      <c r="C78" s="443" t="s">
        <v>404</v>
      </c>
      <c r="D78" s="459" t="s">
        <v>441</v>
      </c>
      <c r="E78" s="489" t="s">
        <v>111</v>
      </c>
      <c r="F78" s="408">
        <v>900.0</v>
      </c>
      <c r="G78" s="448"/>
      <c r="H78" s="450" t="str">
        <f>IF(G78="","",G78*Resumen!$G$6)</f>
        <v/>
      </c>
      <c r="I78" s="452" t="s">
        <v>136</v>
      </c>
      <c r="J78" s="459"/>
      <c r="K78" s="445"/>
      <c r="L78" s="450">
        <v>0.0</v>
      </c>
      <c r="M78" s="445" t="s">
        <v>111</v>
      </c>
      <c r="N78" s="115" t="s">
        <v>113</v>
      </c>
      <c r="O78" s="450" t="str">
        <f>IF(G78="","",G78*Resumen!$S$11)</f>
        <v/>
      </c>
      <c r="P78" s="450" t="str">
        <f>IF(G78="","",(G78-G78*Resumen!$S$11)/Resumen!$S$12)</f>
        <v/>
      </c>
      <c r="Q78" s="450" t="str">
        <f>IF(G78="","",((G78-G78*Resumen!$S$11)/Resumen!$S$12)*((1+Resumen!$S$13)*((1+Resumen!$S$13)^Resumen!$S$12-1)/Resumen!$S$13))</f>
        <v/>
      </c>
      <c r="R78" s="450" t="str">
        <f t="shared" si="18"/>
        <v/>
      </c>
    </row>
    <row r="79" ht="26.25" customHeight="1">
      <c r="A79" s="156" t="s">
        <v>238</v>
      </c>
      <c r="B79" s="493" t="s">
        <v>436</v>
      </c>
      <c r="C79" s="494" t="s">
        <v>442</v>
      </c>
      <c r="D79" s="495" t="s">
        <v>439</v>
      </c>
      <c r="E79" s="496"/>
      <c r="F79" s="401">
        <v>450.0</v>
      </c>
      <c r="G79" s="402">
        <f t="shared" ref="G79:G80" si="20">ROUND(F79*$U$6,0)</f>
        <v>16500</v>
      </c>
      <c r="H79" s="492">
        <f>IF(G79="","",G79*Resumen!$G$6)</f>
        <v>24997500</v>
      </c>
      <c r="I79" s="452" t="s">
        <v>136</v>
      </c>
      <c r="J79" s="459"/>
      <c r="K79" s="445"/>
      <c r="L79" s="450">
        <v>0.0</v>
      </c>
      <c r="M79" s="445" t="s">
        <v>111</v>
      </c>
      <c r="N79" s="497"/>
      <c r="O79" s="498"/>
      <c r="P79" s="498"/>
      <c r="Q79" s="498"/>
      <c r="R79" s="498"/>
      <c r="S79" s="94"/>
      <c r="T79" s="94"/>
      <c r="U79" s="94"/>
      <c r="V79" s="94"/>
      <c r="W79" s="94"/>
      <c r="X79" s="94"/>
      <c r="Y79" s="94"/>
      <c r="Z79" s="94"/>
    </row>
    <row r="80" ht="26.25" customHeight="1">
      <c r="A80" s="156" t="s">
        <v>238</v>
      </c>
      <c r="B80" s="493" t="s">
        <v>436</v>
      </c>
      <c r="C80" s="494" t="s">
        <v>443</v>
      </c>
      <c r="D80" s="495" t="s">
        <v>440</v>
      </c>
      <c r="E80" s="496"/>
      <c r="F80" s="401">
        <v>450.0</v>
      </c>
      <c r="G80" s="402">
        <f t="shared" si="20"/>
        <v>16500</v>
      </c>
      <c r="H80" s="492">
        <f>IF(G80="","",G80*Resumen!$G$6)</f>
        <v>24997500</v>
      </c>
      <c r="I80" s="167" t="s">
        <v>136</v>
      </c>
      <c r="J80" s="459"/>
      <c r="K80" s="445"/>
      <c r="L80" s="450">
        <v>0.0</v>
      </c>
      <c r="M80" s="445" t="s">
        <v>111</v>
      </c>
      <c r="N80" s="497" t="s">
        <v>113</v>
      </c>
      <c r="O80" s="498"/>
      <c r="P80" s="498"/>
      <c r="Q80" s="498"/>
      <c r="R80" s="498"/>
      <c r="S80" s="94"/>
      <c r="T80" s="94"/>
      <c r="U80" s="94"/>
      <c r="V80" s="94"/>
      <c r="W80" s="94"/>
      <c r="X80" s="94"/>
      <c r="Y80" s="94"/>
      <c r="Z80" s="94"/>
    </row>
    <row r="81" ht="25.5" customHeight="1">
      <c r="A81" s="392" t="s">
        <v>238</v>
      </c>
      <c r="B81" s="356" t="s">
        <v>444</v>
      </c>
      <c r="C81" s="357" t="s">
        <v>106</v>
      </c>
      <c r="D81" s="365" t="s">
        <v>445</v>
      </c>
      <c r="E81" s="499">
        <v>1818.0</v>
      </c>
      <c r="F81" s="360"/>
      <c r="G81" s="361"/>
      <c r="H81" s="362" t="str">
        <f>IF(G81="","",G81*Resumen!$G$6)</f>
        <v/>
      </c>
      <c r="I81" s="422" t="s">
        <v>128</v>
      </c>
      <c r="J81" s="423" t="s">
        <v>341</v>
      </c>
      <c r="K81" s="365"/>
      <c r="L81" s="362">
        <v>0.0</v>
      </c>
      <c r="M81" s="365" t="s">
        <v>111</v>
      </c>
      <c r="N81" s="115" t="s">
        <v>113</v>
      </c>
      <c r="O81" s="362" t="str">
        <f>IF(G81="","",G81*Resumen!$S$11)</f>
        <v/>
      </c>
      <c r="P81" s="362" t="str">
        <f>IF(G81="","",(G81-G81*Resumen!$S$11)/Resumen!$S$12)</f>
        <v/>
      </c>
      <c r="Q81" s="362" t="str">
        <f>IF(G81="","",((G81-G81*Resumen!$S$11)/Resumen!$S$12)*((1+Resumen!$S$13)*((1+Resumen!$S$13)^Resumen!$S$12-1)/Resumen!$S$13))</f>
        <v/>
      </c>
      <c r="R81" s="362" t="str">
        <f>IF(G81="","",O81+Q81)</f>
        <v/>
      </c>
      <c r="S81" s="366">
        <v>4.0</v>
      </c>
    </row>
    <row r="82" ht="26.25" customHeight="1">
      <c r="A82" s="500" t="s">
        <v>238</v>
      </c>
      <c r="B82" s="501" t="s">
        <v>444</v>
      </c>
      <c r="C82" s="502" t="s">
        <v>446</v>
      </c>
      <c r="D82" s="503" t="s">
        <v>439</v>
      </c>
      <c r="E82" s="504"/>
      <c r="F82" s="505">
        <v>450.0</v>
      </c>
      <c r="G82" s="506">
        <f t="shared" ref="G82:G83" si="21">ROUND(F82*$U$8,0)</f>
        <v>15000</v>
      </c>
      <c r="H82" s="507">
        <f>IF(G82="","",G82*Resumen!$G$6)</f>
        <v>22725000</v>
      </c>
      <c r="I82" s="452" t="s">
        <v>136</v>
      </c>
      <c r="J82" s="508"/>
      <c r="K82" s="508"/>
      <c r="L82" s="507"/>
      <c r="M82" s="508"/>
      <c r="N82" s="509"/>
      <c r="O82" s="507"/>
      <c r="P82" s="507"/>
      <c r="Q82" s="507"/>
      <c r="R82" s="507"/>
      <c r="S82" s="94"/>
      <c r="T82" s="94"/>
      <c r="U82" s="94"/>
      <c r="V82" s="94"/>
      <c r="W82" s="94"/>
      <c r="X82" s="94"/>
      <c r="Y82" s="94"/>
      <c r="Z82" s="94"/>
    </row>
    <row r="83" ht="25.5" customHeight="1">
      <c r="A83" s="500" t="s">
        <v>238</v>
      </c>
      <c r="B83" s="510" t="s">
        <v>444</v>
      </c>
      <c r="C83" s="502" t="s">
        <v>447</v>
      </c>
      <c r="D83" s="503" t="s">
        <v>448</v>
      </c>
      <c r="E83" s="504"/>
      <c r="F83" s="505">
        <v>450.0</v>
      </c>
      <c r="G83" s="506">
        <f t="shared" si="21"/>
        <v>15000</v>
      </c>
      <c r="H83" s="507">
        <f>IF(G83="","",G83*Resumen!$G$6)</f>
        <v>22725000</v>
      </c>
      <c r="I83" s="167" t="s">
        <v>136</v>
      </c>
      <c r="J83" s="511"/>
      <c r="K83" s="508"/>
      <c r="L83" s="507">
        <v>0.0</v>
      </c>
      <c r="M83" s="508" t="s">
        <v>111</v>
      </c>
      <c r="N83" s="497" t="s">
        <v>113</v>
      </c>
      <c r="O83" s="507">
        <f>IF(G83="","",G83*Resumen!$S$11)</f>
        <v>7500</v>
      </c>
      <c r="P83" s="507">
        <f>IF(G83="","",(G83-G83*Resumen!$S$11)/Resumen!$S$12)</f>
        <v>625</v>
      </c>
      <c r="Q83" s="507">
        <f>IF(G83="","",((G83-G83*Resumen!$S$11)/Resumen!$S$12)*((1+Resumen!$S$13)*((1+Resumen!$S$13)^Resumen!$S$12-1)/Resumen!$S$13))</f>
        <v>9136.11903</v>
      </c>
      <c r="R83" s="507">
        <f t="shared" ref="R83:R84" si="22">IF(G83="","",O83+Q83)</f>
        <v>16636.11903</v>
      </c>
      <c r="S83" s="94"/>
      <c r="T83" s="94"/>
      <c r="U83" s="94"/>
      <c r="V83" s="94"/>
      <c r="W83" s="94"/>
      <c r="X83" s="94"/>
      <c r="Y83" s="94"/>
      <c r="Z83" s="94"/>
    </row>
    <row r="84" ht="25.5" customHeight="1">
      <c r="A84" s="392" t="s">
        <v>238</v>
      </c>
      <c r="B84" s="356" t="s">
        <v>449</v>
      </c>
      <c r="C84" s="357" t="s">
        <v>450</v>
      </c>
      <c r="D84" s="365" t="s">
        <v>451</v>
      </c>
      <c r="E84" s="499">
        <v>1943.22</v>
      </c>
      <c r="F84" s="360"/>
      <c r="G84" s="361"/>
      <c r="H84" s="362" t="str">
        <f>IF(G84="","",G84*Resumen!$G$6)</f>
        <v/>
      </c>
      <c r="I84" s="363" t="s">
        <v>158</v>
      </c>
      <c r="J84" s="364"/>
      <c r="K84" s="365"/>
      <c r="L84" s="362">
        <v>0.0</v>
      </c>
      <c r="M84" s="365" t="s">
        <v>111</v>
      </c>
      <c r="N84" s="115" t="s">
        <v>113</v>
      </c>
      <c r="O84" s="362" t="str">
        <f>IF(G84="","",G84*Resumen!$S$11)</f>
        <v/>
      </c>
      <c r="P84" s="362" t="str">
        <f>IF(G84="","",(G84-G84*Resumen!$S$11)/Resumen!$S$12)</f>
        <v/>
      </c>
      <c r="Q84" s="362" t="str">
        <f>IF(G84="","",((G84-G84*Resumen!$S$11)/Resumen!$S$12)*((1+Resumen!$S$13)*((1+Resumen!$S$13)^Resumen!$S$12-1)/Resumen!$S$13))</f>
        <v/>
      </c>
      <c r="R84" s="362" t="str">
        <f t="shared" si="22"/>
        <v/>
      </c>
      <c r="S84" s="366"/>
    </row>
    <row r="85" ht="25.5" customHeight="1">
      <c r="A85" s="500" t="s">
        <v>238</v>
      </c>
      <c r="B85" s="512" t="s">
        <v>449</v>
      </c>
      <c r="C85" s="500" t="s">
        <v>449</v>
      </c>
      <c r="D85" s="513" t="s">
        <v>452</v>
      </c>
      <c r="E85" s="507"/>
      <c r="F85" s="514">
        <f>E84/3</f>
        <v>647.74</v>
      </c>
      <c r="G85" s="506">
        <f t="shared" ref="G85:G87" si="23">ROUND(F85*$U$8,0)</f>
        <v>21591</v>
      </c>
      <c r="H85" s="507" t="s">
        <v>130</v>
      </c>
      <c r="I85" s="515" t="s">
        <v>136</v>
      </c>
      <c r="J85" s="508"/>
      <c r="K85" s="508"/>
      <c r="L85" s="507">
        <v>0.0</v>
      </c>
      <c r="M85" s="508" t="s">
        <v>111</v>
      </c>
      <c r="N85" s="497" t="s">
        <v>113</v>
      </c>
      <c r="O85" s="507" t="s">
        <v>130</v>
      </c>
      <c r="P85" s="507" t="s">
        <v>130</v>
      </c>
      <c r="Q85" s="507" t="s">
        <v>130</v>
      </c>
      <c r="R85" s="507" t="s">
        <v>130</v>
      </c>
      <c r="S85" s="91">
        <v>4.0</v>
      </c>
      <c r="T85" s="94"/>
      <c r="U85" s="94"/>
      <c r="V85" s="94"/>
      <c r="W85" s="94"/>
      <c r="X85" s="94"/>
      <c r="Y85" s="94"/>
      <c r="Z85" s="94"/>
    </row>
    <row r="86" ht="25.5" customHeight="1">
      <c r="A86" s="500" t="s">
        <v>238</v>
      </c>
      <c r="B86" s="512" t="s">
        <v>449</v>
      </c>
      <c r="C86" s="500" t="s">
        <v>449</v>
      </c>
      <c r="D86" s="513" t="s">
        <v>453</v>
      </c>
      <c r="E86" s="507"/>
      <c r="F86" s="514">
        <v>647.74</v>
      </c>
      <c r="G86" s="506">
        <f t="shared" si="23"/>
        <v>21591</v>
      </c>
      <c r="H86" s="507"/>
      <c r="I86" s="515" t="s">
        <v>136</v>
      </c>
      <c r="J86" s="508"/>
      <c r="K86" s="508"/>
      <c r="L86" s="507"/>
      <c r="M86" s="508"/>
      <c r="N86" s="497"/>
      <c r="O86" s="507"/>
      <c r="P86" s="507"/>
      <c r="Q86" s="507"/>
      <c r="R86" s="507"/>
      <c r="S86" s="94"/>
      <c r="T86" s="94"/>
      <c r="U86" s="94"/>
      <c r="V86" s="94"/>
      <c r="W86" s="94"/>
      <c r="X86" s="94"/>
      <c r="Y86" s="94"/>
      <c r="Z86" s="94"/>
    </row>
    <row r="87" ht="25.5" customHeight="1">
      <c r="A87" s="500" t="s">
        <v>238</v>
      </c>
      <c r="B87" s="512" t="s">
        <v>449</v>
      </c>
      <c r="C87" s="500" t="s">
        <v>449</v>
      </c>
      <c r="D87" s="513" t="s">
        <v>454</v>
      </c>
      <c r="E87" s="507"/>
      <c r="F87" s="514">
        <v>647.74</v>
      </c>
      <c r="G87" s="506">
        <f t="shared" si="23"/>
        <v>21591</v>
      </c>
      <c r="H87" s="507">
        <v>2.2725E7</v>
      </c>
      <c r="I87" s="515" t="s">
        <v>136</v>
      </c>
      <c r="J87" s="508"/>
      <c r="K87" s="508"/>
      <c r="L87" s="507">
        <v>0.0</v>
      </c>
      <c r="M87" s="508" t="s">
        <v>111</v>
      </c>
      <c r="N87" s="497" t="s">
        <v>113</v>
      </c>
      <c r="O87" s="507">
        <v>7500.0</v>
      </c>
      <c r="P87" s="507">
        <v>625.0</v>
      </c>
      <c r="Q87" s="507">
        <v>9136.11903024093</v>
      </c>
      <c r="R87" s="507">
        <v>16636.11903024093</v>
      </c>
      <c r="S87" s="94"/>
      <c r="T87" s="94"/>
      <c r="U87" s="94"/>
      <c r="V87" s="94"/>
      <c r="W87" s="94"/>
      <c r="X87" s="94"/>
      <c r="Y87" s="94"/>
      <c r="Z87" s="94"/>
    </row>
    <row r="88" ht="25.5" customHeight="1">
      <c r="A88" s="516" t="s">
        <v>455</v>
      </c>
      <c r="B88" s="517"/>
      <c r="C88" s="517"/>
      <c r="D88" s="517"/>
      <c r="E88" s="517"/>
      <c r="F88" s="518"/>
      <c r="G88" s="517"/>
      <c r="H88" s="517"/>
      <c r="I88" s="519"/>
      <c r="J88" s="517"/>
      <c r="K88" s="517"/>
      <c r="L88" s="517"/>
      <c r="M88" s="517"/>
      <c r="N88" s="115" t="s">
        <v>113</v>
      </c>
      <c r="O88" s="520"/>
      <c r="P88" s="520"/>
      <c r="Q88" s="520"/>
      <c r="R88" s="520"/>
    </row>
    <row r="89" ht="25.5" customHeight="1">
      <c r="A89" s="392" t="s">
        <v>456</v>
      </c>
      <c r="B89" s="392" t="s">
        <v>457</v>
      </c>
      <c r="C89" s="357" t="s">
        <v>458</v>
      </c>
      <c r="D89" s="365" t="s">
        <v>459</v>
      </c>
      <c r="E89" s="359">
        <v>1607.6</v>
      </c>
      <c r="F89" s="360"/>
      <c r="G89" s="521">
        <f>SUM(G90:G92)</f>
        <v>53445</v>
      </c>
      <c r="H89" s="362">
        <f>IF(G89="","",G89*Resumen!$G$6)</f>
        <v>80969175</v>
      </c>
      <c r="I89" s="363" t="s">
        <v>158</v>
      </c>
      <c r="J89" s="364"/>
      <c r="K89" s="365"/>
      <c r="L89" s="362">
        <v>0.0</v>
      </c>
      <c r="M89" s="365" t="s">
        <v>111</v>
      </c>
      <c r="N89" s="115" t="s">
        <v>113</v>
      </c>
      <c r="O89" s="362">
        <f>IF(G89="","",G89*Resumen!$S$11)</f>
        <v>26722.5</v>
      </c>
      <c r="P89" s="362">
        <f>IF(G89="","",(G89-G89*Resumen!$S$11)/Resumen!$S$12)</f>
        <v>2226.875</v>
      </c>
      <c r="Q89" s="362">
        <f>IF(G89="","",((G89-G89*Resumen!$S$11)/Resumen!$S$12)*((1+Resumen!$S$13)*((1+Resumen!$S$13)^Resumen!$S$12-1)/Resumen!$S$13))</f>
        <v>32551.9921</v>
      </c>
      <c r="R89" s="362">
        <f t="shared" ref="R89:R130" si="24">IF(G89="","",O89+Q89)</f>
        <v>59274.4921</v>
      </c>
      <c r="S89" s="366">
        <v>3.0</v>
      </c>
    </row>
    <row r="90" ht="25.5" customHeight="1">
      <c r="A90" s="405" t="s">
        <v>456</v>
      </c>
      <c r="B90" s="405" t="s">
        <v>457</v>
      </c>
      <c r="C90" s="439" t="s">
        <v>144</v>
      </c>
      <c r="D90" s="406" t="s">
        <v>460</v>
      </c>
      <c r="E90" s="407" t="s">
        <v>111</v>
      </c>
      <c r="F90" s="522">
        <v>485.87</v>
      </c>
      <c r="G90" s="409">
        <f t="shared" ref="G90:G92" si="25">ROUND(F90*$U$7,0)</f>
        <v>17815</v>
      </c>
      <c r="H90" s="410">
        <f>IF(G90="","",G90*Resumen!$G$6)</f>
        <v>26989725</v>
      </c>
      <c r="I90" s="438" t="s">
        <v>136</v>
      </c>
      <c r="J90" s="411"/>
      <c r="K90" s="406"/>
      <c r="L90" s="410">
        <v>0.0</v>
      </c>
      <c r="M90" s="406" t="s">
        <v>111</v>
      </c>
      <c r="N90" s="115" t="s">
        <v>113</v>
      </c>
      <c r="O90" s="410">
        <f>IF(G90="","",G90*Resumen!$S$11)</f>
        <v>8907.5</v>
      </c>
      <c r="P90" s="410">
        <f>IF(G90="","",(G90-G90*Resumen!$S$11)/Resumen!$S$12)</f>
        <v>742.2916667</v>
      </c>
      <c r="Q90" s="410">
        <f>IF(G90="","",((G90-G90*Resumen!$S$11)/Resumen!$S$12)*((1+Resumen!$S$13)*((1+Resumen!$S$13)^Resumen!$S$12-1)/Resumen!$S$13))</f>
        <v>10850.66403</v>
      </c>
      <c r="R90" s="410">
        <f t="shared" si="24"/>
        <v>19758.16403</v>
      </c>
    </row>
    <row r="91" ht="25.5" customHeight="1">
      <c r="A91" s="405" t="s">
        <v>456</v>
      </c>
      <c r="B91" s="405" t="s">
        <v>457</v>
      </c>
      <c r="C91" s="439" t="s">
        <v>150</v>
      </c>
      <c r="D91" s="406" t="s">
        <v>461</v>
      </c>
      <c r="E91" s="407" t="s">
        <v>111</v>
      </c>
      <c r="F91" s="522">
        <v>485.87</v>
      </c>
      <c r="G91" s="409">
        <f t="shared" si="25"/>
        <v>17815</v>
      </c>
      <c r="H91" s="410">
        <f>IF(G91="","",G91*Resumen!$G$6)</f>
        <v>26989725</v>
      </c>
      <c r="I91" s="438" t="s">
        <v>136</v>
      </c>
      <c r="J91" s="411"/>
      <c r="K91" s="406"/>
      <c r="L91" s="410">
        <v>0.0</v>
      </c>
      <c r="M91" s="406" t="s">
        <v>111</v>
      </c>
      <c r="N91" s="115" t="s">
        <v>113</v>
      </c>
      <c r="O91" s="410">
        <f>IF(G91="","",G91*Resumen!$S$11)</f>
        <v>8907.5</v>
      </c>
      <c r="P91" s="410">
        <f>IF(G91="","",(G91-G91*Resumen!$S$11)/Resumen!$S$12)</f>
        <v>742.2916667</v>
      </c>
      <c r="Q91" s="410">
        <f>IF(G91="","",((G91-G91*Resumen!$S$11)/Resumen!$S$12)*((1+Resumen!$S$13)*((1+Resumen!$S$13)^Resumen!$S$12-1)/Resumen!$S$13))</f>
        <v>10850.66403</v>
      </c>
      <c r="R91" s="410">
        <f t="shared" si="24"/>
        <v>19758.16403</v>
      </c>
    </row>
    <row r="92" ht="25.5" customHeight="1">
      <c r="A92" s="405" t="s">
        <v>456</v>
      </c>
      <c r="B92" s="405" t="s">
        <v>457</v>
      </c>
      <c r="C92" s="439" t="s">
        <v>462</v>
      </c>
      <c r="D92" s="406" t="s">
        <v>463</v>
      </c>
      <c r="E92" s="407" t="s">
        <v>111</v>
      </c>
      <c r="F92" s="522">
        <v>485.87</v>
      </c>
      <c r="G92" s="409">
        <f t="shared" si="25"/>
        <v>17815</v>
      </c>
      <c r="H92" s="410">
        <f>IF(G92="","",G92*Resumen!$G$6)</f>
        <v>26989725</v>
      </c>
      <c r="I92" s="438" t="s">
        <v>136</v>
      </c>
      <c r="J92" s="411"/>
      <c r="K92" s="406"/>
      <c r="L92" s="410">
        <v>0.0</v>
      </c>
      <c r="M92" s="406" t="s">
        <v>111</v>
      </c>
      <c r="N92" s="115" t="s">
        <v>113</v>
      </c>
      <c r="O92" s="410">
        <f>IF(G92="","",G92*Resumen!$S$11)</f>
        <v>8907.5</v>
      </c>
      <c r="P92" s="410">
        <f>IF(G92="","",(G92-G92*Resumen!$S$11)/Resumen!$S$12)</f>
        <v>742.2916667</v>
      </c>
      <c r="Q92" s="410">
        <f>IF(G92="","",((G92-G92*Resumen!$S$11)/Resumen!$S$12)*((1+Resumen!$S$13)*((1+Resumen!$S$13)^Resumen!$S$12-1)/Resumen!$S$13))</f>
        <v>10850.66403</v>
      </c>
      <c r="R92" s="410">
        <f t="shared" si="24"/>
        <v>19758.16403</v>
      </c>
    </row>
    <row r="93" ht="25.5" customHeight="1">
      <c r="A93" s="392" t="s">
        <v>456</v>
      </c>
      <c r="B93" s="392" t="s">
        <v>464</v>
      </c>
      <c r="C93" s="357" t="s">
        <v>465</v>
      </c>
      <c r="D93" s="365" t="s">
        <v>466</v>
      </c>
      <c r="E93" s="359">
        <v>1632.36</v>
      </c>
      <c r="F93" s="360"/>
      <c r="G93" s="361"/>
      <c r="H93" s="362" t="str">
        <f>IF(G93="","",G93*Resumen!$G$6)</f>
        <v/>
      </c>
      <c r="I93" s="363" t="s">
        <v>158</v>
      </c>
      <c r="J93" s="364"/>
      <c r="K93" s="365"/>
      <c r="L93" s="362">
        <v>0.0</v>
      </c>
      <c r="M93" s="365" t="s">
        <v>111</v>
      </c>
      <c r="N93" s="115" t="s">
        <v>113</v>
      </c>
      <c r="O93" s="362" t="str">
        <f>IF(G93="","",G93*Resumen!$S$11)</f>
        <v/>
      </c>
      <c r="P93" s="362" t="str">
        <f>IF(G93="","",(G93-G93*Resumen!$S$11)/Resumen!$S$12)</f>
        <v/>
      </c>
      <c r="Q93" s="362" t="str">
        <f>IF(G93="","",((G93-G93*Resumen!$S$11)/Resumen!$S$12)*((1+Resumen!$S$13)*((1+Resumen!$S$13)^Resumen!$S$12-1)/Resumen!$S$13))</f>
        <v/>
      </c>
      <c r="R93" s="362" t="str">
        <f t="shared" si="24"/>
        <v/>
      </c>
      <c r="S93" s="366">
        <v>3.0</v>
      </c>
    </row>
    <row r="94" ht="25.5" customHeight="1">
      <c r="A94" s="398" t="s">
        <v>456</v>
      </c>
      <c r="B94" s="398" t="s">
        <v>464</v>
      </c>
      <c r="C94" s="490" t="s">
        <v>144</v>
      </c>
      <c r="D94" s="399" t="s">
        <v>467</v>
      </c>
      <c r="E94" s="400" t="s">
        <v>111</v>
      </c>
      <c r="F94" s="401">
        <v>494.12</v>
      </c>
      <c r="G94" s="402">
        <f t="shared" ref="G94:G96" si="26">ROUND(F94*$U$7,0)</f>
        <v>18118</v>
      </c>
      <c r="H94" s="403">
        <f>IF(G94="","",G94*Resumen!$G$6)</f>
        <v>27448770</v>
      </c>
      <c r="I94" s="438" t="s">
        <v>136</v>
      </c>
      <c r="J94" s="404"/>
      <c r="K94" s="399"/>
      <c r="L94" s="403">
        <v>0.0</v>
      </c>
      <c r="M94" s="399" t="s">
        <v>111</v>
      </c>
      <c r="N94" s="115" t="s">
        <v>113</v>
      </c>
      <c r="O94" s="403">
        <f>IF(G94="","",G94*Resumen!$S$11)</f>
        <v>9059</v>
      </c>
      <c r="P94" s="403">
        <f>IF(G94="","",(G94-G94*Resumen!$S$11)/Resumen!$S$12)</f>
        <v>754.9166667</v>
      </c>
      <c r="Q94" s="403">
        <f>IF(G94="","",((G94-G94*Resumen!$S$11)/Resumen!$S$12)*((1+Resumen!$S$13)*((1+Resumen!$S$13)^Resumen!$S$12-1)/Resumen!$S$13))</f>
        <v>11035.21364</v>
      </c>
      <c r="R94" s="403">
        <f t="shared" si="24"/>
        <v>20094.21364</v>
      </c>
    </row>
    <row r="95" ht="25.5" customHeight="1">
      <c r="A95" s="398" t="s">
        <v>456</v>
      </c>
      <c r="B95" s="398" t="s">
        <v>464</v>
      </c>
      <c r="C95" s="490" t="s">
        <v>150</v>
      </c>
      <c r="D95" s="399" t="s">
        <v>468</v>
      </c>
      <c r="E95" s="400" t="s">
        <v>111</v>
      </c>
      <c r="F95" s="401">
        <v>494.12</v>
      </c>
      <c r="G95" s="402">
        <f t="shared" si="26"/>
        <v>18118</v>
      </c>
      <c r="H95" s="403">
        <f>IF(G95="","",G95*Resumen!$G$6)</f>
        <v>27448770</v>
      </c>
      <c r="I95" s="438" t="s">
        <v>136</v>
      </c>
      <c r="J95" s="404"/>
      <c r="K95" s="399"/>
      <c r="L95" s="403">
        <v>0.0</v>
      </c>
      <c r="M95" s="399" t="s">
        <v>111</v>
      </c>
      <c r="N95" s="115" t="s">
        <v>113</v>
      </c>
      <c r="O95" s="403">
        <f>IF(G95="","",G95*Resumen!$S$11)</f>
        <v>9059</v>
      </c>
      <c r="P95" s="403">
        <f>IF(G95="","",(G95-G95*Resumen!$S$11)/Resumen!$S$12)</f>
        <v>754.9166667</v>
      </c>
      <c r="Q95" s="403">
        <f>IF(G95="","",((G95-G95*Resumen!$S$11)/Resumen!$S$12)*((1+Resumen!$S$13)*((1+Resumen!$S$13)^Resumen!$S$12-1)/Resumen!$S$13))</f>
        <v>11035.21364</v>
      </c>
      <c r="R95" s="403">
        <f t="shared" si="24"/>
        <v>20094.21364</v>
      </c>
    </row>
    <row r="96" ht="25.5" customHeight="1">
      <c r="A96" s="398" t="s">
        <v>456</v>
      </c>
      <c r="B96" s="398" t="s">
        <v>464</v>
      </c>
      <c r="C96" s="490" t="s">
        <v>462</v>
      </c>
      <c r="D96" s="399" t="s">
        <v>469</v>
      </c>
      <c r="E96" s="400" t="s">
        <v>111</v>
      </c>
      <c r="F96" s="401">
        <v>494.12</v>
      </c>
      <c r="G96" s="402">
        <f t="shared" si="26"/>
        <v>18118</v>
      </c>
      <c r="H96" s="403">
        <f>IF(G96="","",G96*Resumen!$G$6)</f>
        <v>27448770</v>
      </c>
      <c r="I96" s="438" t="s">
        <v>136</v>
      </c>
      <c r="J96" s="404"/>
      <c r="K96" s="399"/>
      <c r="L96" s="403">
        <v>0.0</v>
      </c>
      <c r="M96" s="399" t="s">
        <v>111</v>
      </c>
      <c r="N96" s="115" t="s">
        <v>113</v>
      </c>
      <c r="O96" s="403">
        <f>IF(G96="","",G96*Resumen!$S$11)</f>
        <v>9059</v>
      </c>
      <c r="P96" s="403">
        <f>IF(G96="","",(G96-G96*Resumen!$S$11)/Resumen!$S$12)</f>
        <v>754.9166667</v>
      </c>
      <c r="Q96" s="403">
        <f>IF(G96="","",((G96-G96*Resumen!$S$11)/Resumen!$S$12)*((1+Resumen!$S$13)*((1+Resumen!$S$13)^Resumen!$S$12-1)/Resumen!$S$13))</f>
        <v>11035.21364</v>
      </c>
      <c r="R96" s="403">
        <f t="shared" si="24"/>
        <v>20094.21364</v>
      </c>
    </row>
    <row r="97" ht="25.5" customHeight="1">
      <c r="A97" s="392" t="s">
        <v>456</v>
      </c>
      <c r="B97" s="392" t="s">
        <v>470</v>
      </c>
      <c r="C97" s="357" t="s">
        <v>471</v>
      </c>
      <c r="D97" s="365" t="s">
        <v>472</v>
      </c>
      <c r="E97" s="359">
        <v>1619.8</v>
      </c>
      <c r="F97" s="360"/>
      <c r="G97" s="361"/>
      <c r="H97" s="362" t="str">
        <f>IF(G97="","",G97*Resumen!$G$6)</f>
        <v/>
      </c>
      <c r="I97" s="363" t="s">
        <v>158</v>
      </c>
      <c r="J97" s="364"/>
      <c r="K97" s="365"/>
      <c r="L97" s="362">
        <v>0.0</v>
      </c>
      <c r="M97" s="365" t="s">
        <v>111</v>
      </c>
      <c r="N97" s="115" t="s">
        <v>113</v>
      </c>
      <c r="O97" s="362" t="str">
        <f>IF(G97="","",G97*Resumen!$S$11)</f>
        <v/>
      </c>
      <c r="P97" s="362" t="str">
        <f>IF(G97="","",(G97-G97*Resumen!$S$11)/Resumen!$S$12)</f>
        <v/>
      </c>
      <c r="Q97" s="362" t="str">
        <f>IF(G97="","",((G97-G97*Resumen!$S$11)/Resumen!$S$12)*((1+Resumen!$S$13)*((1+Resumen!$S$13)^Resumen!$S$12-1)/Resumen!$S$13))</f>
        <v/>
      </c>
      <c r="R97" s="362" t="str">
        <f t="shared" si="24"/>
        <v/>
      </c>
      <c r="S97" s="366">
        <v>3.0</v>
      </c>
    </row>
    <row r="98" ht="25.5" customHeight="1">
      <c r="A98" s="405" t="s">
        <v>456</v>
      </c>
      <c r="B98" s="405" t="s">
        <v>470</v>
      </c>
      <c r="C98" s="439" t="s">
        <v>144</v>
      </c>
      <c r="D98" s="406" t="s">
        <v>473</v>
      </c>
      <c r="E98" s="407" t="s">
        <v>111</v>
      </c>
      <c r="F98" s="408">
        <v>489.93</v>
      </c>
      <c r="G98" s="409">
        <f t="shared" ref="G98:G100" si="27">ROUND(F98*$U$7,0)</f>
        <v>17964</v>
      </c>
      <c r="H98" s="410">
        <f>IF(G98="","",G98*Resumen!$G$6)</f>
        <v>27215460</v>
      </c>
      <c r="I98" s="438" t="s">
        <v>136</v>
      </c>
      <c r="J98" s="411"/>
      <c r="K98" s="406"/>
      <c r="L98" s="410">
        <v>0.0</v>
      </c>
      <c r="M98" s="406" t="s">
        <v>111</v>
      </c>
      <c r="N98" s="115" t="s">
        <v>113</v>
      </c>
      <c r="O98" s="410">
        <f>IF(G98="","",G98*Resumen!$S$11)</f>
        <v>8982</v>
      </c>
      <c r="P98" s="410">
        <f>IF(G98="","",(G98-G98*Resumen!$S$11)/Resumen!$S$12)</f>
        <v>748.5</v>
      </c>
      <c r="Q98" s="410">
        <f>IF(G98="","",((G98-G98*Resumen!$S$11)/Resumen!$S$12)*((1+Resumen!$S$13)*((1+Resumen!$S$13)^Resumen!$S$12-1)/Resumen!$S$13))</f>
        <v>10941.41615</v>
      </c>
      <c r="R98" s="410">
        <f t="shared" si="24"/>
        <v>19923.41615</v>
      </c>
    </row>
    <row r="99" ht="25.5" customHeight="1">
      <c r="A99" s="405" t="s">
        <v>456</v>
      </c>
      <c r="B99" s="405" t="s">
        <v>470</v>
      </c>
      <c r="C99" s="439" t="s">
        <v>150</v>
      </c>
      <c r="D99" s="406" t="s">
        <v>474</v>
      </c>
      <c r="E99" s="407" t="s">
        <v>111</v>
      </c>
      <c r="F99" s="408">
        <v>489.93</v>
      </c>
      <c r="G99" s="409">
        <f t="shared" si="27"/>
        <v>17964</v>
      </c>
      <c r="H99" s="410">
        <f>IF(G99="","",G99*Resumen!$G$6)</f>
        <v>27215460</v>
      </c>
      <c r="I99" s="438" t="s">
        <v>136</v>
      </c>
      <c r="J99" s="411"/>
      <c r="K99" s="406"/>
      <c r="L99" s="410">
        <v>0.0</v>
      </c>
      <c r="M99" s="406" t="s">
        <v>111</v>
      </c>
      <c r="N99" s="115" t="s">
        <v>113</v>
      </c>
      <c r="O99" s="410">
        <f>IF(G99="","",G99*Resumen!$S$11)</f>
        <v>8982</v>
      </c>
      <c r="P99" s="410">
        <f>IF(G99="","",(G99-G99*Resumen!$S$11)/Resumen!$S$12)</f>
        <v>748.5</v>
      </c>
      <c r="Q99" s="410">
        <f>IF(G99="","",((G99-G99*Resumen!$S$11)/Resumen!$S$12)*((1+Resumen!$S$13)*((1+Resumen!$S$13)^Resumen!$S$12-1)/Resumen!$S$13))</f>
        <v>10941.41615</v>
      </c>
      <c r="R99" s="410">
        <f t="shared" si="24"/>
        <v>19923.41615</v>
      </c>
    </row>
    <row r="100" ht="25.5" customHeight="1">
      <c r="A100" s="405" t="s">
        <v>456</v>
      </c>
      <c r="B100" s="405" t="s">
        <v>470</v>
      </c>
      <c r="C100" s="439" t="s">
        <v>462</v>
      </c>
      <c r="D100" s="406" t="s">
        <v>475</v>
      </c>
      <c r="E100" s="407" t="s">
        <v>111</v>
      </c>
      <c r="F100" s="408">
        <v>489.93</v>
      </c>
      <c r="G100" s="409">
        <f t="shared" si="27"/>
        <v>17964</v>
      </c>
      <c r="H100" s="410">
        <f>IF(G100="","",G100*Resumen!$G$6)</f>
        <v>27215460</v>
      </c>
      <c r="I100" s="438" t="s">
        <v>136</v>
      </c>
      <c r="J100" s="411"/>
      <c r="K100" s="406"/>
      <c r="L100" s="410">
        <v>0.0</v>
      </c>
      <c r="M100" s="406" t="s">
        <v>111</v>
      </c>
      <c r="N100" s="115" t="s">
        <v>113</v>
      </c>
      <c r="O100" s="410">
        <f>IF(G100="","",G100*Resumen!$S$11)</f>
        <v>8982</v>
      </c>
      <c r="P100" s="410">
        <f>IF(G100="","",(G100-G100*Resumen!$S$11)/Resumen!$S$12)</f>
        <v>748.5</v>
      </c>
      <c r="Q100" s="410">
        <f>IF(G100="","",((G100-G100*Resumen!$S$11)/Resumen!$S$12)*((1+Resumen!$S$13)*((1+Resumen!$S$13)^Resumen!$S$12-1)/Resumen!$S$13))</f>
        <v>10941.41615</v>
      </c>
      <c r="R100" s="410">
        <f t="shared" si="24"/>
        <v>19923.41615</v>
      </c>
    </row>
    <row r="101" ht="25.5" customHeight="1">
      <c r="A101" s="392" t="s">
        <v>456</v>
      </c>
      <c r="B101" s="392" t="s">
        <v>476</v>
      </c>
      <c r="C101" s="357" t="s">
        <v>477</v>
      </c>
      <c r="D101" s="365" t="s">
        <v>478</v>
      </c>
      <c r="E101" s="359">
        <v>1619.9</v>
      </c>
      <c r="F101" s="360"/>
      <c r="G101" s="361"/>
      <c r="H101" s="362" t="str">
        <f>IF(G101="","",G101*Resumen!$G$6)</f>
        <v/>
      </c>
      <c r="I101" s="363" t="s">
        <v>158</v>
      </c>
      <c r="J101" s="364"/>
      <c r="K101" s="365"/>
      <c r="L101" s="362">
        <v>0.0</v>
      </c>
      <c r="M101" s="365" t="s">
        <v>111</v>
      </c>
      <c r="N101" s="115" t="s">
        <v>113</v>
      </c>
      <c r="O101" s="362" t="str">
        <f>IF(G101="","",G101*Resumen!$S$11)</f>
        <v/>
      </c>
      <c r="P101" s="362" t="str">
        <f>IF(G101="","",(G101-G101*Resumen!$S$11)/Resumen!$S$12)</f>
        <v/>
      </c>
      <c r="Q101" s="362" t="str">
        <f>IF(G101="","",((G101-G101*Resumen!$S$11)/Resumen!$S$12)*((1+Resumen!$S$13)*((1+Resumen!$S$13)^Resumen!$S$12-1)/Resumen!$S$13))</f>
        <v/>
      </c>
      <c r="R101" s="362" t="str">
        <f t="shared" si="24"/>
        <v/>
      </c>
      <c r="S101" s="366">
        <v>3.0</v>
      </c>
    </row>
    <row r="102" ht="25.5" customHeight="1">
      <c r="A102" s="398" t="s">
        <v>456</v>
      </c>
      <c r="B102" s="398" t="s">
        <v>476</v>
      </c>
      <c r="C102" s="490" t="s">
        <v>144</v>
      </c>
      <c r="D102" s="399" t="s">
        <v>479</v>
      </c>
      <c r="E102" s="400" t="s">
        <v>111</v>
      </c>
      <c r="F102" s="401">
        <v>489.97</v>
      </c>
      <c r="G102" s="402">
        <f t="shared" ref="G102:G104" si="28">ROUND(F102*$U$7,0)</f>
        <v>17966</v>
      </c>
      <c r="H102" s="403">
        <f>IF(G102="","",G102*Resumen!$G$6)</f>
        <v>27218490</v>
      </c>
      <c r="I102" s="438" t="s">
        <v>136</v>
      </c>
      <c r="J102" s="404"/>
      <c r="K102" s="399"/>
      <c r="L102" s="403">
        <v>0.0</v>
      </c>
      <c r="M102" s="399" t="s">
        <v>111</v>
      </c>
      <c r="N102" s="115" t="s">
        <v>113</v>
      </c>
      <c r="O102" s="403">
        <f>IF(G102="","",G102*Resumen!$S$11)</f>
        <v>8983</v>
      </c>
      <c r="P102" s="403">
        <f>IF(G102="","",(G102-G102*Resumen!$S$11)/Resumen!$S$12)</f>
        <v>748.5833333</v>
      </c>
      <c r="Q102" s="403">
        <f>IF(G102="","",((G102-G102*Resumen!$S$11)/Resumen!$S$12)*((1+Resumen!$S$13)*((1+Resumen!$S$13)^Resumen!$S$12-1)/Resumen!$S$13))</f>
        <v>10942.6343</v>
      </c>
      <c r="R102" s="403">
        <f t="shared" si="24"/>
        <v>19925.6343</v>
      </c>
    </row>
    <row r="103" ht="25.5" customHeight="1">
      <c r="A103" s="398" t="s">
        <v>456</v>
      </c>
      <c r="B103" s="398" t="s">
        <v>476</v>
      </c>
      <c r="C103" s="490" t="s">
        <v>150</v>
      </c>
      <c r="D103" s="399" t="s">
        <v>480</v>
      </c>
      <c r="E103" s="400" t="s">
        <v>111</v>
      </c>
      <c r="F103" s="401">
        <v>489.97</v>
      </c>
      <c r="G103" s="402">
        <f t="shared" si="28"/>
        <v>17966</v>
      </c>
      <c r="H103" s="403">
        <f>IF(G103="","",G103*Resumen!$G$6)</f>
        <v>27218490</v>
      </c>
      <c r="I103" s="438" t="s">
        <v>136</v>
      </c>
      <c r="J103" s="404"/>
      <c r="K103" s="399"/>
      <c r="L103" s="403">
        <v>0.0</v>
      </c>
      <c r="M103" s="399" t="s">
        <v>111</v>
      </c>
      <c r="N103" s="115" t="s">
        <v>113</v>
      </c>
      <c r="O103" s="403">
        <f>IF(G103="","",G103*Resumen!$S$11)</f>
        <v>8983</v>
      </c>
      <c r="P103" s="403">
        <f>IF(G103="","",(G103-G103*Resumen!$S$11)/Resumen!$S$12)</f>
        <v>748.5833333</v>
      </c>
      <c r="Q103" s="403">
        <f>IF(G103="","",((G103-G103*Resumen!$S$11)/Resumen!$S$12)*((1+Resumen!$S$13)*((1+Resumen!$S$13)^Resumen!$S$12-1)/Resumen!$S$13))</f>
        <v>10942.6343</v>
      </c>
      <c r="R103" s="403">
        <f t="shared" si="24"/>
        <v>19925.6343</v>
      </c>
    </row>
    <row r="104" ht="25.5" customHeight="1">
      <c r="A104" s="398" t="s">
        <v>456</v>
      </c>
      <c r="B104" s="398" t="s">
        <v>476</v>
      </c>
      <c r="C104" s="490" t="s">
        <v>462</v>
      </c>
      <c r="D104" s="399" t="s">
        <v>481</v>
      </c>
      <c r="E104" s="400" t="s">
        <v>111</v>
      </c>
      <c r="F104" s="401">
        <v>489.97</v>
      </c>
      <c r="G104" s="402">
        <f t="shared" si="28"/>
        <v>17966</v>
      </c>
      <c r="H104" s="403">
        <f>IF(G104="","",G104*Resumen!$G$6)</f>
        <v>27218490</v>
      </c>
      <c r="I104" s="438" t="s">
        <v>136</v>
      </c>
      <c r="J104" s="404"/>
      <c r="K104" s="399"/>
      <c r="L104" s="403">
        <v>0.0</v>
      </c>
      <c r="M104" s="399" t="s">
        <v>111</v>
      </c>
      <c r="N104" s="115" t="s">
        <v>113</v>
      </c>
      <c r="O104" s="403">
        <f>IF(G104="","",G104*Resumen!$S$11)</f>
        <v>8983</v>
      </c>
      <c r="P104" s="403">
        <f>IF(G104="","",(G104-G104*Resumen!$S$11)/Resumen!$S$12)</f>
        <v>748.5833333</v>
      </c>
      <c r="Q104" s="403">
        <f>IF(G104="","",((G104-G104*Resumen!$S$11)/Resumen!$S$12)*((1+Resumen!$S$13)*((1+Resumen!$S$13)^Resumen!$S$12-1)/Resumen!$S$13))</f>
        <v>10942.6343</v>
      </c>
      <c r="R104" s="403">
        <f t="shared" si="24"/>
        <v>19925.6343</v>
      </c>
    </row>
    <row r="105" ht="25.5" customHeight="1">
      <c r="A105" s="392" t="s">
        <v>456</v>
      </c>
      <c r="B105" s="392" t="s">
        <v>482</v>
      </c>
      <c r="C105" s="357" t="s">
        <v>477</v>
      </c>
      <c r="D105" s="365" t="s">
        <v>483</v>
      </c>
      <c r="E105" s="359">
        <v>1619.9</v>
      </c>
      <c r="F105" s="360"/>
      <c r="G105" s="361"/>
      <c r="H105" s="362" t="str">
        <f>IF(G105="","",G105*Resumen!$G$6)</f>
        <v/>
      </c>
      <c r="I105" s="363" t="s">
        <v>158</v>
      </c>
      <c r="J105" s="364"/>
      <c r="K105" s="365"/>
      <c r="L105" s="362">
        <v>0.0</v>
      </c>
      <c r="M105" s="365" t="s">
        <v>111</v>
      </c>
      <c r="N105" s="115" t="s">
        <v>113</v>
      </c>
      <c r="O105" s="362" t="str">
        <f>IF(G105="","",G105*Resumen!$S$11)</f>
        <v/>
      </c>
      <c r="P105" s="362" t="str">
        <f>IF(G105="","",(G105-G105*Resumen!$S$11)/Resumen!$S$12)</f>
        <v/>
      </c>
      <c r="Q105" s="362" t="str">
        <f>IF(G105="","",((G105-G105*Resumen!$S$11)/Resumen!$S$12)*((1+Resumen!$S$13)*((1+Resumen!$S$13)^Resumen!$S$12-1)/Resumen!$S$13))</f>
        <v/>
      </c>
      <c r="R105" s="362" t="str">
        <f t="shared" si="24"/>
        <v/>
      </c>
      <c r="S105" s="366">
        <v>3.0</v>
      </c>
    </row>
    <row r="106" ht="25.5" customHeight="1">
      <c r="A106" s="405" t="s">
        <v>456</v>
      </c>
      <c r="B106" s="405" t="s">
        <v>482</v>
      </c>
      <c r="C106" s="439" t="s">
        <v>144</v>
      </c>
      <c r="D106" s="406" t="s">
        <v>484</v>
      </c>
      <c r="E106" s="407"/>
      <c r="F106" s="408">
        <v>489.97</v>
      </c>
      <c r="G106" s="409">
        <f t="shared" ref="G106:G108" si="29">ROUND(F106*$U$7,0)</f>
        <v>17966</v>
      </c>
      <c r="H106" s="410">
        <f>IF(G106="","",G106*Resumen!$G$6)</f>
        <v>27218490</v>
      </c>
      <c r="I106" s="438" t="s">
        <v>136</v>
      </c>
      <c r="J106" s="411"/>
      <c r="K106" s="406"/>
      <c r="L106" s="410"/>
      <c r="M106" s="406" t="s">
        <v>111</v>
      </c>
      <c r="N106" s="115" t="s">
        <v>113</v>
      </c>
      <c r="O106" s="410">
        <f>IF(G106="","",G106*Resumen!$S$11)</f>
        <v>8983</v>
      </c>
      <c r="P106" s="410">
        <f>IF(G106="","",(G106-G106*Resumen!$S$11)/Resumen!$S$12)</f>
        <v>748.5833333</v>
      </c>
      <c r="Q106" s="410">
        <f>IF(G106="","",((G106-G106*Resumen!$S$11)/Resumen!$S$12)*((1+Resumen!$S$13)*((1+Resumen!$S$13)^Resumen!$S$12-1)/Resumen!$S$13))</f>
        <v>10942.6343</v>
      </c>
      <c r="R106" s="410">
        <f t="shared" si="24"/>
        <v>19925.6343</v>
      </c>
    </row>
    <row r="107" ht="25.5" customHeight="1">
      <c r="A107" s="405" t="s">
        <v>456</v>
      </c>
      <c r="B107" s="405" t="s">
        <v>482</v>
      </c>
      <c r="C107" s="439" t="s">
        <v>150</v>
      </c>
      <c r="D107" s="406" t="s">
        <v>485</v>
      </c>
      <c r="E107" s="407"/>
      <c r="F107" s="408">
        <v>489.97</v>
      </c>
      <c r="G107" s="409">
        <f t="shared" si="29"/>
        <v>17966</v>
      </c>
      <c r="H107" s="410">
        <f>IF(G107="","",G107*Resumen!$G$6)</f>
        <v>27218490</v>
      </c>
      <c r="I107" s="438" t="s">
        <v>136</v>
      </c>
      <c r="J107" s="411"/>
      <c r="K107" s="406"/>
      <c r="L107" s="410"/>
      <c r="M107" s="406" t="s">
        <v>111</v>
      </c>
      <c r="N107" s="115" t="s">
        <v>113</v>
      </c>
      <c r="O107" s="410">
        <f>IF(G107="","",G107*Resumen!$S$11)</f>
        <v>8983</v>
      </c>
      <c r="P107" s="410">
        <f>IF(G107="","",(G107-G107*Resumen!$S$11)/Resumen!$S$12)</f>
        <v>748.5833333</v>
      </c>
      <c r="Q107" s="410">
        <f>IF(G107="","",((G107-G107*Resumen!$S$11)/Resumen!$S$12)*((1+Resumen!$S$13)*((1+Resumen!$S$13)^Resumen!$S$12-1)/Resumen!$S$13))</f>
        <v>10942.6343</v>
      </c>
      <c r="R107" s="410">
        <f t="shared" si="24"/>
        <v>19925.6343</v>
      </c>
    </row>
    <row r="108" ht="25.5" customHeight="1">
      <c r="A108" s="405" t="s">
        <v>456</v>
      </c>
      <c r="B108" s="405" t="s">
        <v>482</v>
      </c>
      <c r="C108" s="439" t="s">
        <v>462</v>
      </c>
      <c r="D108" s="406" t="s">
        <v>486</v>
      </c>
      <c r="E108" s="407"/>
      <c r="F108" s="408">
        <v>489.97</v>
      </c>
      <c r="G108" s="409">
        <f t="shared" si="29"/>
        <v>17966</v>
      </c>
      <c r="H108" s="410">
        <f>IF(G108="","",G108*Resumen!$G$6)</f>
        <v>27218490</v>
      </c>
      <c r="I108" s="438" t="s">
        <v>136</v>
      </c>
      <c r="J108" s="411"/>
      <c r="K108" s="406"/>
      <c r="L108" s="410"/>
      <c r="M108" s="406" t="s">
        <v>111</v>
      </c>
      <c r="N108" s="115" t="s">
        <v>113</v>
      </c>
      <c r="O108" s="410">
        <f>IF(G108="","",G108*Resumen!$S$11)</f>
        <v>8983</v>
      </c>
      <c r="P108" s="410">
        <f>IF(G108="","",(G108-G108*Resumen!$S$11)/Resumen!$S$12)</f>
        <v>748.5833333</v>
      </c>
      <c r="Q108" s="410">
        <f>IF(G108="","",((G108-G108*Resumen!$S$11)/Resumen!$S$12)*((1+Resumen!$S$13)*((1+Resumen!$S$13)^Resumen!$S$12-1)/Resumen!$S$13))</f>
        <v>10942.6343</v>
      </c>
      <c r="R108" s="410">
        <f t="shared" si="24"/>
        <v>19925.6343</v>
      </c>
    </row>
    <row r="109" ht="25.5" customHeight="1">
      <c r="A109" s="392" t="s">
        <v>456</v>
      </c>
      <c r="B109" s="392" t="s">
        <v>487</v>
      </c>
      <c r="C109" s="357" t="s">
        <v>488</v>
      </c>
      <c r="D109" s="365" t="s">
        <v>489</v>
      </c>
      <c r="E109" s="359">
        <v>1619.74</v>
      </c>
      <c r="F109" s="360"/>
      <c r="G109" s="361"/>
      <c r="H109" s="362" t="str">
        <f>IF(G109="","",G109*Resumen!$G$6)</f>
        <v/>
      </c>
      <c r="I109" s="363" t="s">
        <v>158</v>
      </c>
      <c r="J109" s="364"/>
      <c r="K109" s="365"/>
      <c r="L109" s="362">
        <v>0.0</v>
      </c>
      <c r="M109" s="365" t="s">
        <v>111</v>
      </c>
      <c r="N109" s="115" t="s">
        <v>113</v>
      </c>
      <c r="O109" s="362" t="str">
        <f>IF(G109="","",G109*Resumen!$S$11)</f>
        <v/>
      </c>
      <c r="P109" s="362" t="str">
        <f>IF(G109="","",(G109-G109*Resumen!$S$11)/Resumen!$S$12)</f>
        <v/>
      </c>
      <c r="Q109" s="362" t="str">
        <f>IF(G109="","",((G109-G109*Resumen!$S$11)/Resumen!$S$12)*((1+Resumen!$S$13)*((1+Resumen!$S$13)^Resumen!$S$12-1)/Resumen!$S$13))</f>
        <v/>
      </c>
      <c r="R109" s="362" t="str">
        <f t="shared" si="24"/>
        <v/>
      </c>
      <c r="S109" s="366">
        <v>3.0</v>
      </c>
    </row>
    <row r="110" ht="25.5" customHeight="1">
      <c r="A110" s="398" t="s">
        <v>456</v>
      </c>
      <c r="B110" s="398" t="s">
        <v>487</v>
      </c>
      <c r="C110" s="490" t="s">
        <v>144</v>
      </c>
      <c r="D110" s="399" t="s">
        <v>490</v>
      </c>
      <c r="E110" s="400" t="s">
        <v>111</v>
      </c>
      <c r="F110" s="401">
        <v>489.91</v>
      </c>
      <c r="G110" s="402">
        <f t="shared" ref="G110:G112" si="30">ROUND(F110*$U$7,0)</f>
        <v>17963</v>
      </c>
      <c r="H110" s="403">
        <f>IF(G110="","",G110*Resumen!$G$6)</f>
        <v>27213945</v>
      </c>
      <c r="I110" s="438" t="s">
        <v>136</v>
      </c>
      <c r="J110" s="404"/>
      <c r="K110" s="399"/>
      <c r="L110" s="403">
        <v>0.0</v>
      </c>
      <c r="M110" s="399" t="s">
        <v>111</v>
      </c>
      <c r="N110" s="115" t="s">
        <v>113</v>
      </c>
      <c r="O110" s="403">
        <f>IF(G110="","",G110*Resumen!$S$11)</f>
        <v>8981.5</v>
      </c>
      <c r="P110" s="403">
        <f>IF(G110="","",(G110-G110*Resumen!$S$11)/Resumen!$S$12)</f>
        <v>748.4583333</v>
      </c>
      <c r="Q110" s="403">
        <f>IF(G110="","",((G110-G110*Resumen!$S$11)/Resumen!$S$12)*((1+Resumen!$S$13)*((1+Resumen!$S$13)^Resumen!$S$12-1)/Resumen!$S$13))</f>
        <v>10940.80708</v>
      </c>
      <c r="R110" s="403">
        <f t="shared" si="24"/>
        <v>19922.30708</v>
      </c>
    </row>
    <row r="111" ht="25.5" customHeight="1">
      <c r="A111" s="398" t="s">
        <v>456</v>
      </c>
      <c r="B111" s="398" t="s">
        <v>487</v>
      </c>
      <c r="C111" s="490" t="s">
        <v>150</v>
      </c>
      <c r="D111" s="399" t="s">
        <v>491</v>
      </c>
      <c r="E111" s="400" t="s">
        <v>111</v>
      </c>
      <c r="F111" s="401">
        <v>489.91</v>
      </c>
      <c r="G111" s="402">
        <f t="shared" si="30"/>
        <v>17963</v>
      </c>
      <c r="H111" s="403">
        <f>IF(G111="","",G111*Resumen!$G$6)</f>
        <v>27213945</v>
      </c>
      <c r="I111" s="438" t="s">
        <v>136</v>
      </c>
      <c r="J111" s="404"/>
      <c r="K111" s="399"/>
      <c r="L111" s="403">
        <v>0.0</v>
      </c>
      <c r="M111" s="399" t="s">
        <v>111</v>
      </c>
      <c r="N111" s="115" t="s">
        <v>113</v>
      </c>
      <c r="O111" s="403">
        <f>IF(G111="","",G111*Resumen!$S$11)</f>
        <v>8981.5</v>
      </c>
      <c r="P111" s="403">
        <f>IF(G111="","",(G111-G111*Resumen!$S$11)/Resumen!$S$12)</f>
        <v>748.4583333</v>
      </c>
      <c r="Q111" s="403">
        <f>IF(G111="","",((G111-G111*Resumen!$S$11)/Resumen!$S$12)*((1+Resumen!$S$13)*((1+Resumen!$S$13)^Resumen!$S$12-1)/Resumen!$S$13))</f>
        <v>10940.80708</v>
      </c>
      <c r="R111" s="403">
        <f t="shared" si="24"/>
        <v>19922.30708</v>
      </c>
    </row>
    <row r="112" ht="25.5" customHeight="1">
      <c r="A112" s="398" t="s">
        <v>456</v>
      </c>
      <c r="B112" s="398" t="s">
        <v>487</v>
      </c>
      <c r="C112" s="490" t="s">
        <v>462</v>
      </c>
      <c r="D112" s="399" t="s">
        <v>492</v>
      </c>
      <c r="E112" s="400" t="s">
        <v>111</v>
      </c>
      <c r="F112" s="401">
        <v>489.91</v>
      </c>
      <c r="G112" s="402">
        <f t="shared" si="30"/>
        <v>17963</v>
      </c>
      <c r="H112" s="403">
        <f>IF(G112="","",G112*Resumen!$G$6)</f>
        <v>27213945</v>
      </c>
      <c r="I112" s="438" t="s">
        <v>136</v>
      </c>
      <c r="J112" s="404"/>
      <c r="K112" s="399"/>
      <c r="L112" s="403">
        <v>0.0</v>
      </c>
      <c r="M112" s="399" t="s">
        <v>111</v>
      </c>
      <c r="N112" s="115" t="s">
        <v>113</v>
      </c>
      <c r="O112" s="403">
        <f>IF(G112="","",G112*Resumen!$S$11)</f>
        <v>8981.5</v>
      </c>
      <c r="P112" s="403">
        <f>IF(G112="","",(G112-G112*Resumen!$S$11)/Resumen!$S$12)</f>
        <v>748.4583333</v>
      </c>
      <c r="Q112" s="403">
        <f>IF(G112="","",((G112-G112*Resumen!$S$11)/Resumen!$S$12)*((1+Resumen!$S$13)*((1+Resumen!$S$13)^Resumen!$S$12-1)/Resumen!$S$13))</f>
        <v>10940.80708</v>
      </c>
      <c r="R112" s="403">
        <f t="shared" si="24"/>
        <v>19922.30708</v>
      </c>
    </row>
    <row r="113" ht="25.5" customHeight="1">
      <c r="A113" s="392" t="s">
        <v>456</v>
      </c>
      <c r="B113" s="392" t="s">
        <v>493</v>
      </c>
      <c r="C113" s="357" t="s">
        <v>494</v>
      </c>
      <c r="D113" s="365" t="s">
        <v>495</v>
      </c>
      <c r="E113" s="359">
        <v>1647.77</v>
      </c>
      <c r="F113" s="360"/>
      <c r="G113" s="361"/>
      <c r="H113" s="362" t="str">
        <f>IF(G113="","",G113*Resumen!$G$6)</f>
        <v/>
      </c>
      <c r="I113" s="363" t="s">
        <v>158</v>
      </c>
      <c r="J113" s="364"/>
      <c r="K113" s="365"/>
      <c r="L113" s="362">
        <v>0.0</v>
      </c>
      <c r="M113" s="365" t="s">
        <v>111</v>
      </c>
      <c r="N113" s="115" t="s">
        <v>113</v>
      </c>
      <c r="O113" s="362" t="str">
        <f>IF(G113="","",G113*Resumen!$S$11)</f>
        <v/>
      </c>
      <c r="P113" s="362" t="str">
        <f>IF(G113="","",(G113-G113*Resumen!$S$11)/Resumen!$S$12)</f>
        <v/>
      </c>
      <c r="Q113" s="362" t="str">
        <f>IF(G113="","",((G113-G113*Resumen!$S$11)/Resumen!$S$12)*((1+Resumen!$S$13)*((1+Resumen!$S$13)^Resumen!$S$12-1)/Resumen!$S$13))</f>
        <v/>
      </c>
      <c r="R113" s="362" t="str">
        <f t="shared" si="24"/>
        <v/>
      </c>
      <c r="S113" s="366">
        <v>3.0</v>
      </c>
    </row>
    <row r="114" ht="25.5" customHeight="1">
      <c r="A114" s="405" t="s">
        <v>456</v>
      </c>
      <c r="B114" s="405" t="s">
        <v>493</v>
      </c>
      <c r="C114" s="439" t="s">
        <v>144</v>
      </c>
      <c r="D114" s="406" t="s">
        <v>496</v>
      </c>
      <c r="E114" s="407" t="s">
        <v>111</v>
      </c>
      <c r="F114" s="408">
        <v>499.26</v>
      </c>
      <c r="G114" s="409">
        <f t="shared" ref="G114:G116" si="31">ROUND(F114*$U$7,0)</f>
        <v>18306</v>
      </c>
      <c r="H114" s="410">
        <f>IF(G114="","",G114*Resumen!$G$6)</f>
        <v>27733590</v>
      </c>
      <c r="I114" s="438" t="s">
        <v>136</v>
      </c>
      <c r="J114" s="411"/>
      <c r="K114" s="406"/>
      <c r="L114" s="410">
        <v>0.0</v>
      </c>
      <c r="M114" s="406" t="s">
        <v>111</v>
      </c>
      <c r="N114" s="115" t="s">
        <v>113</v>
      </c>
      <c r="O114" s="410">
        <f>IF(G114="","",G114*Resumen!$S$11)</f>
        <v>9153</v>
      </c>
      <c r="P114" s="410">
        <f>IF(G114="","",(G114-G114*Resumen!$S$11)/Resumen!$S$12)</f>
        <v>762.75</v>
      </c>
      <c r="Q114" s="410">
        <f>IF(G114="","",((G114-G114*Resumen!$S$11)/Resumen!$S$12)*((1+Resumen!$S$13)*((1+Resumen!$S$13)^Resumen!$S$12-1)/Resumen!$S$13))</f>
        <v>11149.71966</v>
      </c>
      <c r="R114" s="410">
        <f t="shared" si="24"/>
        <v>20302.71966</v>
      </c>
    </row>
    <row r="115" ht="25.5" customHeight="1">
      <c r="A115" s="405" t="s">
        <v>456</v>
      </c>
      <c r="B115" s="405" t="s">
        <v>493</v>
      </c>
      <c r="C115" s="439" t="s">
        <v>150</v>
      </c>
      <c r="D115" s="406" t="s">
        <v>497</v>
      </c>
      <c r="E115" s="407" t="s">
        <v>111</v>
      </c>
      <c r="F115" s="408">
        <v>499.26</v>
      </c>
      <c r="G115" s="409">
        <f t="shared" si="31"/>
        <v>18306</v>
      </c>
      <c r="H115" s="410">
        <f>IF(G115="","",G115*Resumen!$G$6)</f>
        <v>27733590</v>
      </c>
      <c r="I115" s="438" t="s">
        <v>136</v>
      </c>
      <c r="J115" s="411"/>
      <c r="K115" s="406"/>
      <c r="L115" s="410">
        <v>0.0</v>
      </c>
      <c r="M115" s="406" t="s">
        <v>111</v>
      </c>
      <c r="N115" s="115" t="s">
        <v>113</v>
      </c>
      <c r="O115" s="410">
        <f>IF(G115="","",G115*Resumen!$S$11)</f>
        <v>9153</v>
      </c>
      <c r="P115" s="410">
        <f>IF(G115="","",(G115-G115*Resumen!$S$11)/Resumen!$S$12)</f>
        <v>762.75</v>
      </c>
      <c r="Q115" s="410">
        <f>IF(G115="","",((G115-G115*Resumen!$S$11)/Resumen!$S$12)*((1+Resumen!$S$13)*((1+Resumen!$S$13)^Resumen!$S$12-1)/Resumen!$S$13))</f>
        <v>11149.71966</v>
      </c>
      <c r="R115" s="410">
        <f t="shared" si="24"/>
        <v>20302.71966</v>
      </c>
    </row>
    <row r="116" ht="25.5" customHeight="1">
      <c r="A116" s="405" t="s">
        <v>456</v>
      </c>
      <c r="B116" s="405" t="s">
        <v>493</v>
      </c>
      <c r="C116" s="439" t="s">
        <v>462</v>
      </c>
      <c r="D116" s="406" t="s">
        <v>498</v>
      </c>
      <c r="E116" s="407" t="s">
        <v>111</v>
      </c>
      <c r="F116" s="408">
        <v>499.26</v>
      </c>
      <c r="G116" s="409">
        <f t="shared" si="31"/>
        <v>18306</v>
      </c>
      <c r="H116" s="410">
        <f>IF(G116="","",G116*Resumen!$G$6)</f>
        <v>27733590</v>
      </c>
      <c r="I116" s="438" t="s">
        <v>136</v>
      </c>
      <c r="J116" s="411"/>
      <c r="K116" s="406"/>
      <c r="L116" s="410">
        <v>0.0</v>
      </c>
      <c r="M116" s="406" t="s">
        <v>111</v>
      </c>
      <c r="N116" s="115" t="s">
        <v>113</v>
      </c>
      <c r="O116" s="410">
        <f>IF(G116="","",G116*Resumen!$S$11)</f>
        <v>9153</v>
      </c>
      <c r="P116" s="410">
        <f>IF(G116="","",(G116-G116*Resumen!$S$11)/Resumen!$S$12)</f>
        <v>762.75</v>
      </c>
      <c r="Q116" s="410">
        <f>IF(G116="","",((G116-G116*Resumen!$S$11)/Resumen!$S$12)*((1+Resumen!$S$13)*((1+Resumen!$S$13)^Resumen!$S$12-1)/Resumen!$S$13))</f>
        <v>11149.71966</v>
      </c>
      <c r="R116" s="410">
        <f t="shared" si="24"/>
        <v>20302.71966</v>
      </c>
    </row>
    <row r="117" ht="25.5" customHeight="1">
      <c r="A117" s="475" t="s">
        <v>456</v>
      </c>
      <c r="B117" s="475" t="s">
        <v>499</v>
      </c>
      <c r="C117" s="476" t="s">
        <v>106</v>
      </c>
      <c r="D117" s="477" t="s">
        <v>409</v>
      </c>
      <c r="E117" s="478">
        <v>1800.04</v>
      </c>
      <c r="F117" s="479"/>
      <c r="G117" s="480"/>
      <c r="H117" s="481" t="str">
        <f>IF(G117="","",G117*Resumen!$G$6)</f>
        <v/>
      </c>
      <c r="I117" s="482" t="s">
        <v>128</v>
      </c>
      <c r="J117" s="423" t="s">
        <v>341</v>
      </c>
      <c r="K117" s="477"/>
      <c r="L117" s="481">
        <v>0.0</v>
      </c>
      <c r="M117" s="477" t="s">
        <v>111</v>
      </c>
      <c r="N117" s="483" t="s">
        <v>113</v>
      </c>
      <c r="O117" s="481" t="str">
        <f>IF(G117="","",G117*Resumen!$S$11)</f>
        <v/>
      </c>
      <c r="P117" s="481" t="str">
        <f>IF(G117="","",(G117-G117*Resumen!$S$11)/Resumen!$S$12)</f>
        <v/>
      </c>
      <c r="Q117" s="481" t="str">
        <f>IF(G117="","",((G117-G117*Resumen!$S$11)/Resumen!$S$12)*((1+Resumen!$S$13)*((1+Resumen!$S$13)^Resumen!$S$12-1)/Resumen!$S$13))</f>
        <v/>
      </c>
      <c r="R117" s="481" t="str">
        <f t="shared" si="24"/>
        <v/>
      </c>
      <c r="S117" s="355"/>
      <c r="T117" s="355"/>
      <c r="U117" s="355"/>
      <c r="V117" s="355"/>
      <c r="W117" s="355"/>
      <c r="X117" s="355"/>
      <c r="Y117" s="355"/>
      <c r="Z117" s="355"/>
    </row>
    <row r="118" ht="25.5" customHeight="1">
      <c r="A118" s="475" t="s">
        <v>456</v>
      </c>
      <c r="B118" s="475" t="s">
        <v>500</v>
      </c>
      <c r="C118" s="476" t="s">
        <v>106</v>
      </c>
      <c r="D118" s="477" t="s">
        <v>501</v>
      </c>
      <c r="E118" s="478">
        <v>1721.69</v>
      </c>
      <c r="F118" s="479"/>
      <c r="G118" s="480"/>
      <c r="H118" s="481" t="str">
        <f>IF(G118="","",G118*Resumen!$G$6)</f>
        <v/>
      </c>
      <c r="I118" s="482" t="s">
        <v>128</v>
      </c>
      <c r="J118" s="423" t="s">
        <v>341</v>
      </c>
      <c r="K118" s="477"/>
      <c r="L118" s="481">
        <v>0.0</v>
      </c>
      <c r="M118" s="477" t="s">
        <v>111</v>
      </c>
      <c r="N118" s="483" t="s">
        <v>113</v>
      </c>
      <c r="O118" s="481" t="str">
        <f>IF(G118="","",G118*Resumen!$S$11)</f>
        <v/>
      </c>
      <c r="P118" s="481" t="str">
        <f>IF(G118="","",(G118-G118*Resumen!$S$11)/Resumen!$S$12)</f>
        <v/>
      </c>
      <c r="Q118" s="481" t="str">
        <f>IF(G118="","",((G118-G118*Resumen!$S$11)/Resumen!$S$12)*((1+Resumen!$S$13)*((1+Resumen!$S$13)^Resumen!$S$12-1)/Resumen!$S$13))</f>
        <v/>
      </c>
      <c r="R118" s="481" t="str">
        <f t="shared" si="24"/>
        <v/>
      </c>
      <c r="S118" s="355"/>
      <c r="T118" s="355"/>
      <c r="U118" s="355"/>
      <c r="V118" s="355"/>
      <c r="W118" s="355"/>
      <c r="X118" s="355"/>
      <c r="Y118" s="355"/>
      <c r="Z118" s="355"/>
    </row>
    <row r="119" ht="25.5" customHeight="1">
      <c r="A119" s="392" t="s">
        <v>456</v>
      </c>
      <c r="B119" s="392" t="s">
        <v>502</v>
      </c>
      <c r="C119" s="357" t="s">
        <v>503</v>
      </c>
      <c r="D119" s="365" t="s">
        <v>504</v>
      </c>
      <c r="E119" s="359">
        <v>1830.94</v>
      </c>
      <c r="F119" s="360"/>
      <c r="G119" s="361"/>
      <c r="H119" s="362" t="str">
        <f>IF(G119="","",G119*Resumen!$G$6)</f>
        <v/>
      </c>
      <c r="I119" s="363" t="s">
        <v>158</v>
      </c>
      <c r="J119" s="364"/>
      <c r="K119" s="365"/>
      <c r="L119" s="362">
        <v>0.0</v>
      </c>
      <c r="M119" s="365" t="s">
        <v>111</v>
      </c>
      <c r="N119" s="115" t="s">
        <v>113</v>
      </c>
      <c r="O119" s="362" t="str">
        <f>IF(G119="","",G119*Resumen!$S$11)</f>
        <v/>
      </c>
      <c r="P119" s="362" t="str">
        <f>IF(G119="","",(G119-G119*Resumen!$S$11)/Resumen!$S$12)</f>
        <v/>
      </c>
      <c r="Q119" s="362" t="str">
        <f>IF(G119="","",((G119-G119*Resumen!$S$11)/Resumen!$S$12)*((1+Resumen!$S$13)*((1+Resumen!$S$13)^Resumen!$S$12-1)/Resumen!$S$13))</f>
        <v/>
      </c>
      <c r="R119" s="362" t="str">
        <f t="shared" si="24"/>
        <v/>
      </c>
      <c r="S119" s="366">
        <v>3.0</v>
      </c>
    </row>
    <row r="120" ht="25.5" customHeight="1">
      <c r="A120" s="398" t="s">
        <v>456</v>
      </c>
      <c r="B120" s="398" t="s">
        <v>502</v>
      </c>
      <c r="C120" s="490" t="s">
        <v>144</v>
      </c>
      <c r="D120" s="399" t="s">
        <v>505</v>
      </c>
      <c r="E120" s="400" t="s">
        <v>111</v>
      </c>
      <c r="F120" s="401">
        <v>560.31</v>
      </c>
      <c r="G120" s="402">
        <f t="shared" ref="G120:G122" si="32">ROUND(F120*$U$7,0)</f>
        <v>20545</v>
      </c>
      <c r="H120" s="403">
        <f>IF(G120="","",G120*Resumen!$G$6)</f>
        <v>31125675</v>
      </c>
      <c r="I120" s="438" t="s">
        <v>136</v>
      </c>
      <c r="J120" s="404"/>
      <c r="K120" s="399"/>
      <c r="L120" s="403">
        <v>0.0</v>
      </c>
      <c r="M120" s="399" t="s">
        <v>111</v>
      </c>
      <c r="N120" s="115" t="s">
        <v>113</v>
      </c>
      <c r="O120" s="403">
        <f>IF(G120="","",G120*Resumen!$S$11)</f>
        <v>10272.5</v>
      </c>
      <c r="P120" s="403">
        <f>IF(G120="","",(G120-G120*Resumen!$S$11)/Resumen!$S$12)</f>
        <v>856.0416667</v>
      </c>
      <c r="Q120" s="403">
        <f>IF(G120="","",((G120-G120*Resumen!$S$11)/Resumen!$S$12)*((1+Resumen!$S$13)*((1+Resumen!$S$13)^Resumen!$S$12-1)/Resumen!$S$13))</f>
        <v>12513.4377</v>
      </c>
      <c r="R120" s="403">
        <f t="shared" si="24"/>
        <v>22785.9377</v>
      </c>
    </row>
    <row r="121" ht="25.5" customHeight="1">
      <c r="A121" s="398" t="s">
        <v>456</v>
      </c>
      <c r="B121" s="398" t="s">
        <v>502</v>
      </c>
      <c r="C121" s="490" t="s">
        <v>150</v>
      </c>
      <c r="D121" s="399" t="s">
        <v>506</v>
      </c>
      <c r="E121" s="400" t="s">
        <v>111</v>
      </c>
      <c r="F121" s="401">
        <v>560.31</v>
      </c>
      <c r="G121" s="402">
        <f t="shared" si="32"/>
        <v>20545</v>
      </c>
      <c r="H121" s="403">
        <f>IF(G121="","",G121*Resumen!$G$6)</f>
        <v>31125675</v>
      </c>
      <c r="I121" s="438" t="s">
        <v>136</v>
      </c>
      <c r="J121" s="404"/>
      <c r="K121" s="399"/>
      <c r="L121" s="403">
        <v>0.0</v>
      </c>
      <c r="M121" s="399" t="s">
        <v>111</v>
      </c>
      <c r="N121" s="115" t="s">
        <v>113</v>
      </c>
      <c r="O121" s="403">
        <f>IF(G121="","",G121*Resumen!$S$11)</f>
        <v>10272.5</v>
      </c>
      <c r="P121" s="403">
        <f>IF(G121="","",(G121-G121*Resumen!$S$11)/Resumen!$S$12)</f>
        <v>856.0416667</v>
      </c>
      <c r="Q121" s="403">
        <f>IF(G121="","",((G121-G121*Resumen!$S$11)/Resumen!$S$12)*((1+Resumen!$S$13)*((1+Resumen!$S$13)^Resumen!$S$12-1)/Resumen!$S$13))</f>
        <v>12513.4377</v>
      </c>
      <c r="R121" s="403">
        <f t="shared" si="24"/>
        <v>22785.9377</v>
      </c>
    </row>
    <row r="122" ht="25.5" customHeight="1">
      <c r="A122" s="398" t="s">
        <v>456</v>
      </c>
      <c r="B122" s="398" t="s">
        <v>502</v>
      </c>
      <c r="C122" s="490" t="s">
        <v>462</v>
      </c>
      <c r="D122" s="399" t="s">
        <v>507</v>
      </c>
      <c r="E122" s="400" t="s">
        <v>111</v>
      </c>
      <c r="F122" s="401">
        <v>560.31</v>
      </c>
      <c r="G122" s="402">
        <f t="shared" si="32"/>
        <v>20545</v>
      </c>
      <c r="H122" s="403">
        <f>IF(G122="","",G122*Resumen!$G$6)</f>
        <v>31125675</v>
      </c>
      <c r="I122" s="438" t="s">
        <v>136</v>
      </c>
      <c r="J122" s="404"/>
      <c r="K122" s="399"/>
      <c r="L122" s="403">
        <v>0.0</v>
      </c>
      <c r="M122" s="399" t="s">
        <v>111</v>
      </c>
      <c r="N122" s="115" t="s">
        <v>113</v>
      </c>
      <c r="O122" s="403">
        <f>IF(G122="","",G122*Resumen!$S$11)</f>
        <v>10272.5</v>
      </c>
      <c r="P122" s="403">
        <f>IF(G122="","",(G122-G122*Resumen!$S$11)/Resumen!$S$12)</f>
        <v>856.0416667</v>
      </c>
      <c r="Q122" s="403">
        <f>IF(G122="","",((G122-G122*Resumen!$S$11)/Resumen!$S$12)*((1+Resumen!$S$13)*((1+Resumen!$S$13)^Resumen!$S$12-1)/Resumen!$S$13))</f>
        <v>12513.4377</v>
      </c>
      <c r="R122" s="403">
        <f t="shared" si="24"/>
        <v>22785.9377</v>
      </c>
    </row>
    <row r="123" ht="25.5" customHeight="1">
      <c r="A123" s="392" t="s">
        <v>456</v>
      </c>
      <c r="B123" s="392" t="s">
        <v>508</v>
      </c>
      <c r="C123" s="357" t="s">
        <v>509</v>
      </c>
      <c r="D123" s="365" t="s">
        <v>510</v>
      </c>
      <c r="E123" s="359">
        <v>1654.39</v>
      </c>
      <c r="F123" s="360"/>
      <c r="G123" s="361"/>
      <c r="H123" s="362" t="str">
        <f>IF(G123="","",G123*Resumen!$G$6)</f>
        <v/>
      </c>
      <c r="I123" s="363" t="s">
        <v>158</v>
      </c>
      <c r="J123" s="364"/>
      <c r="K123" s="365"/>
      <c r="L123" s="362">
        <v>0.0</v>
      </c>
      <c r="M123" s="365" t="s">
        <v>111</v>
      </c>
      <c r="N123" s="115" t="s">
        <v>113</v>
      </c>
      <c r="O123" s="362" t="str">
        <f>IF(G123="","",G123*Resumen!$S$11)</f>
        <v/>
      </c>
      <c r="P123" s="362" t="str">
        <f>IF(G123="","",(G123-G123*Resumen!$S$11)/Resumen!$S$12)</f>
        <v/>
      </c>
      <c r="Q123" s="362" t="str">
        <f>IF(G123="","",((G123-G123*Resumen!$S$11)/Resumen!$S$12)*((1+Resumen!$S$13)*((1+Resumen!$S$13)^Resumen!$S$12-1)/Resumen!$S$13))</f>
        <v/>
      </c>
      <c r="R123" s="362" t="str">
        <f t="shared" si="24"/>
        <v/>
      </c>
      <c r="S123" s="366">
        <v>3.0</v>
      </c>
    </row>
    <row r="124" ht="25.5" customHeight="1">
      <c r="A124" s="405" t="s">
        <v>456</v>
      </c>
      <c r="B124" s="405" t="s">
        <v>508</v>
      </c>
      <c r="C124" s="439" t="s">
        <v>144</v>
      </c>
      <c r="D124" s="406" t="s">
        <v>511</v>
      </c>
      <c r="E124" s="407"/>
      <c r="F124" s="408">
        <v>501.46</v>
      </c>
      <c r="G124" s="409">
        <f t="shared" ref="G124:G126" si="33">ROUND(F124*$U$7,0)</f>
        <v>18387</v>
      </c>
      <c r="H124" s="410">
        <f>IF(G124="","",G124*Resumen!$G$6)</f>
        <v>27856305</v>
      </c>
      <c r="I124" s="438" t="s">
        <v>136</v>
      </c>
      <c r="J124" s="411"/>
      <c r="K124" s="406"/>
      <c r="L124" s="410"/>
      <c r="M124" s="406" t="s">
        <v>111</v>
      </c>
      <c r="N124" s="115" t="s">
        <v>113</v>
      </c>
      <c r="O124" s="410">
        <f>IF(G124="","",G124*Resumen!$S$11)</f>
        <v>9193.5</v>
      </c>
      <c r="P124" s="410">
        <f>IF(G124="","",(G124-G124*Resumen!$S$11)/Resumen!$S$12)</f>
        <v>766.125</v>
      </c>
      <c r="Q124" s="410">
        <f>IF(G124="","",((G124-G124*Resumen!$S$11)/Resumen!$S$12)*((1+Resumen!$S$13)*((1+Resumen!$S$13)^Resumen!$S$12-1)/Resumen!$S$13))</f>
        <v>11199.05471</v>
      </c>
      <c r="R124" s="410">
        <f t="shared" si="24"/>
        <v>20392.55471</v>
      </c>
    </row>
    <row r="125" ht="25.5" customHeight="1">
      <c r="A125" s="405" t="s">
        <v>456</v>
      </c>
      <c r="B125" s="405" t="s">
        <v>508</v>
      </c>
      <c r="C125" s="439" t="s">
        <v>150</v>
      </c>
      <c r="D125" s="406" t="s">
        <v>512</v>
      </c>
      <c r="E125" s="407"/>
      <c r="F125" s="408">
        <v>501.46</v>
      </c>
      <c r="G125" s="409">
        <f t="shared" si="33"/>
        <v>18387</v>
      </c>
      <c r="H125" s="410">
        <f>IF(G125="","",G125*Resumen!$G$6)</f>
        <v>27856305</v>
      </c>
      <c r="I125" s="438" t="s">
        <v>136</v>
      </c>
      <c r="J125" s="411"/>
      <c r="K125" s="406"/>
      <c r="L125" s="410"/>
      <c r="M125" s="406" t="s">
        <v>111</v>
      </c>
      <c r="N125" s="115" t="s">
        <v>113</v>
      </c>
      <c r="O125" s="410">
        <f>IF(G125="","",G125*Resumen!$S$11)</f>
        <v>9193.5</v>
      </c>
      <c r="P125" s="410">
        <f>IF(G125="","",(G125-G125*Resumen!$S$11)/Resumen!$S$12)</f>
        <v>766.125</v>
      </c>
      <c r="Q125" s="410">
        <f>IF(G125="","",((G125-G125*Resumen!$S$11)/Resumen!$S$12)*((1+Resumen!$S$13)*((1+Resumen!$S$13)^Resumen!$S$12-1)/Resumen!$S$13))</f>
        <v>11199.05471</v>
      </c>
      <c r="R125" s="410">
        <f t="shared" si="24"/>
        <v>20392.55471</v>
      </c>
    </row>
    <row r="126" ht="25.5" customHeight="1">
      <c r="A126" s="405" t="s">
        <v>456</v>
      </c>
      <c r="B126" s="405" t="s">
        <v>508</v>
      </c>
      <c r="C126" s="439" t="s">
        <v>462</v>
      </c>
      <c r="D126" s="406" t="s">
        <v>513</v>
      </c>
      <c r="E126" s="407"/>
      <c r="F126" s="408">
        <v>501.46</v>
      </c>
      <c r="G126" s="409">
        <f t="shared" si="33"/>
        <v>18387</v>
      </c>
      <c r="H126" s="410">
        <f>IF(G126="","",G126*Resumen!$G$6)</f>
        <v>27856305</v>
      </c>
      <c r="I126" s="438" t="s">
        <v>136</v>
      </c>
      <c r="J126" s="411"/>
      <c r="K126" s="406"/>
      <c r="L126" s="410"/>
      <c r="M126" s="406" t="s">
        <v>111</v>
      </c>
      <c r="N126" s="115" t="s">
        <v>113</v>
      </c>
      <c r="O126" s="410">
        <f>IF(G126="","",G126*Resumen!$S$11)</f>
        <v>9193.5</v>
      </c>
      <c r="P126" s="410">
        <f>IF(G126="","",(G126-G126*Resumen!$S$11)/Resumen!$S$12)</f>
        <v>766.125</v>
      </c>
      <c r="Q126" s="410">
        <f>IF(G126="","",((G126-G126*Resumen!$S$11)/Resumen!$S$12)*((1+Resumen!$S$13)*((1+Resumen!$S$13)^Resumen!$S$12-1)/Resumen!$S$13))</f>
        <v>11199.05471</v>
      </c>
      <c r="R126" s="410">
        <f t="shared" si="24"/>
        <v>20392.55471</v>
      </c>
    </row>
    <row r="127" ht="25.5" customHeight="1">
      <c r="A127" s="392" t="s">
        <v>456</v>
      </c>
      <c r="B127" s="392" t="s">
        <v>514</v>
      </c>
      <c r="C127" s="357" t="s">
        <v>515</v>
      </c>
      <c r="D127" s="365" t="s">
        <v>516</v>
      </c>
      <c r="E127" s="359">
        <v>1646.12</v>
      </c>
      <c r="F127" s="360"/>
      <c r="G127" s="361"/>
      <c r="H127" s="362" t="str">
        <f>IF(G127="","",G127*Resumen!$G$6)</f>
        <v/>
      </c>
      <c r="I127" s="363" t="s">
        <v>158</v>
      </c>
      <c r="J127" s="364"/>
      <c r="K127" s="365"/>
      <c r="L127" s="362">
        <v>0.0</v>
      </c>
      <c r="M127" s="365" t="s">
        <v>111</v>
      </c>
      <c r="N127" s="115" t="s">
        <v>113</v>
      </c>
      <c r="O127" s="362" t="str">
        <f>IF(G127="","",G127*Resumen!$S$11)</f>
        <v/>
      </c>
      <c r="P127" s="362" t="str">
        <f>IF(G127="","",(G127-G127*Resumen!$S$11)/Resumen!$S$12)</f>
        <v/>
      </c>
      <c r="Q127" s="362" t="str">
        <f>IF(G127="","",((G127-G127*Resumen!$S$11)/Resumen!$S$12)*((1+Resumen!$S$13)*((1+Resumen!$S$13)^Resumen!$S$12-1)/Resumen!$S$13))</f>
        <v/>
      </c>
      <c r="R127" s="362" t="str">
        <f t="shared" si="24"/>
        <v/>
      </c>
      <c r="S127" s="366">
        <v>3.0</v>
      </c>
    </row>
    <row r="128" ht="25.5" customHeight="1">
      <c r="A128" s="398" t="s">
        <v>456</v>
      </c>
      <c r="B128" s="398" t="s">
        <v>514</v>
      </c>
      <c r="C128" s="490" t="s">
        <v>144</v>
      </c>
      <c r="D128" s="399" t="s">
        <v>517</v>
      </c>
      <c r="E128" s="400" t="s">
        <v>111</v>
      </c>
      <c r="F128" s="401">
        <v>498.71</v>
      </c>
      <c r="G128" s="402">
        <f t="shared" ref="G128:G130" si="34">ROUND(F128*$U$7,0)</f>
        <v>18286</v>
      </c>
      <c r="H128" s="403">
        <f>IF(G128="","",G128*Resumen!$G$6)</f>
        <v>27703290</v>
      </c>
      <c r="I128" s="438" t="s">
        <v>136</v>
      </c>
      <c r="J128" s="404"/>
      <c r="K128" s="399"/>
      <c r="L128" s="403">
        <v>0.0</v>
      </c>
      <c r="M128" s="399" t="s">
        <v>111</v>
      </c>
      <c r="N128" s="115" t="s">
        <v>113</v>
      </c>
      <c r="O128" s="403">
        <f>IF(G128="","",G128*Resumen!$S$11)</f>
        <v>9143</v>
      </c>
      <c r="P128" s="403">
        <f>IF(G128="","",(G128-G128*Resumen!$S$11)/Resumen!$S$12)</f>
        <v>761.9166667</v>
      </c>
      <c r="Q128" s="403">
        <f>IF(G128="","",((G128-G128*Resumen!$S$11)/Resumen!$S$12)*((1+Resumen!$S$13)*((1+Resumen!$S$13)^Resumen!$S$12-1)/Resumen!$S$13))</f>
        <v>11137.53817</v>
      </c>
      <c r="R128" s="403">
        <f t="shared" si="24"/>
        <v>20280.53817</v>
      </c>
    </row>
    <row r="129" ht="25.5" customHeight="1">
      <c r="A129" s="398" t="s">
        <v>456</v>
      </c>
      <c r="B129" s="398" t="s">
        <v>514</v>
      </c>
      <c r="C129" s="490" t="s">
        <v>150</v>
      </c>
      <c r="D129" s="399" t="s">
        <v>518</v>
      </c>
      <c r="E129" s="400" t="s">
        <v>111</v>
      </c>
      <c r="F129" s="401">
        <v>498.71</v>
      </c>
      <c r="G129" s="402">
        <f t="shared" si="34"/>
        <v>18286</v>
      </c>
      <c r="H129" s="403">
        <f>IF(G129="","",G129*Resumen!$G$6)</f>
        <v>27703290</v>
      </c>
      <c r="I129" s="438" t="s">
        <v>136</v>
      </c>
      <c r="J129" s="404"/>
      <c r="K129" s="399"/>
      <c r="L129" s="403">
        <v>0.0</v>
      </c>
      <c r="M129" s="399" t="s">
        <v>111</v>
      </c>
      <c r="N129" s="115" t="s">
        <v>113</v>
      </c>
      <c r="O129" s="403">
        <f>IF(G129="","",G129*Resumen!$S$11)</f>
        <v>9143</v>
      </c>
      <c r="P129" s="403">
        <f>IF(G129="","",(G129-G129*Resumen!$S$11)/Resumen!$S$12)</f>
        <v>761.9166667</v>
      </c>
      <c r="Q129" s="403">
        <f>IF(G129="","",((G129-G129*Resumen!$S$11)/Resumen!$S$12)*((1+Resumen!$S$13)*((1+Resumen!$S$13)^Resumen!$S$12-1)/Resumen!$S$13))</f>
        <v>11137.53817</v>
      </c>
      <c r="R129" s="403">
        <f t="shared" si="24"/>
        <v>20280.53817</v>
      </c>
    </row>
    <row r="130" ht="25.5" customHeight="1">
      <c r="A130" s="398" t="s">
        <v>456</v>
      </c>
      <c r="B130" s="398" t="s">
        <v>514</v>
      </c>
      <c r="C130" s="490" t="s">
        <v>462</v>
      </c>
      <c r="D130" s="399" t="s">
        <v>519</v>
      </c>
      <c r="E130" s="400" t="s">
        <v>111</v>
      </c>
      <c r="F130" s="401">
        <v>498.71</v>
      </c>
      <c r="G130" s="402">
        <f t="shared" si="34"/>
        <v>18286</v>
      </c>
      <c r="H130" s="403">
        <f>IF(G130="","",G130*Resumen!$G$6)</f>
        <v>27703290</v>
      </c>
      <c r="I130" s="438" t="s">
        <v>136</v>
      </c>
      <c r="J130" s="404"/>
      <c r="K130" s="399"/>
      <c r="L130" s="403">
        <v>0.0</v>
      </c>
      <c r="M130" s="399" t="s">
        <v>111</v>
      </c>
      <c r="N130" s="115" t="s">
        <v>113</v>
      </c>
      <c r="O130" s="403">
        <f>IF(G130="","",G130*Resumen!$S$11)</f>
        <v>9143</v>
      </c>
      <c r="P130" s="403">
        <f>IF(G130="","",(G130-G130*Resumen!$S$11)/Resumen!$S$12)</f>
        <v>761.9166667</v>
      </c>
      <c r="Q130" s="403">
        <f>IF(G130="","",((G130-G130*Resumen!$S$11)/Resumen!$S$12)*((1+Resumen!$S$13)*((1+Resumen!$S$13)^Resumen!$S$12-1)/Resumen!$S$13))</f>
        <v>11137.53817</v>
      </c>
      <c r="R130" s="403">
        <f t="shared" si="24"/>
        <v>20280.53817</v>
      </c>
    </row>
    <row r="131" ht="25.5" customHeight="1">
      <c r="A131" s="523" t="s">
        <v>520</v>
      </c>
      <c r="B131" s="524"/>
      <c r="C131" s="524"/>
      <c r="D131" s="524"/>
      <c r="E131" s="524"/>
      <c r="F131" s="525"/>
      <c r="G131" s="524"/>
      <c r="H131" s="524"/>
      <c r="I131" s="526"/>
      <c r="J131" s="524"/>
      <c r="K131" s="524"/>
      <c r="L131" s="524"/>
      <c r="M131" s="524"/>
      <c r="N131" s="115" t="s">
        <v>113</v>
      </c>
      <c r="O131" s="527"/>
      <c r="P131" s="527"/>
      <c r="Q131" s="527"/>
      <c r="R131" s="527"/>
    </row>
    <row r="132" ht="25.5" hidden="1" customHeight="1" outlineLevel="1">
      <c r="A132" s="528" t="s">
        <v>238</v>
      </c>
      <c r="B132" s="528" t="s">
        <v>521</v>
      </c>
      <c r="C132" s="529" t="s">
        <v>155</v>
      </c>
      <c r="D132" s="530" t="s">
        <v>522</v>
      </c>
      <c r="E132" s="531">
        <v>3000.0</v>
      </c>
      <c r="F132" s="532"/>
      <c r="G132" s="533"/>
      <c r="H132" s="534" t="str">
        <f>IF(G132="","",G132*Resumen!$G$6)</f>
        <v/>
      </c>
      <c r="I132" s="535" t="s">
        <v>251</v>
      </c>
      <c r="J132" s="536"/>
      <c r="K132" s="530"/>
      <c r="L132" s="534">
        <v>0.0</v>
      </c>
      <c r="M132" s="530" t="s">
        <v>111</v>
      </c>
      <c r="N132" s="115" t="s">
        <v>113</v>
      </c>
      <c r="O132" s="534" t="str">
        <f>IF(G132="","",G132*Resumen!$S$11)</f>
        <v/>
      </c>
      <c r="P132" s="534" t="str">
        <f>IF(G132="","",(G132-G132*Resumen!$S$11)/Resumen!$S$12)</f>
        <v/>
      </c>
      <c r="Q132" s="534" t="str">
        <f>IF(G132="","",((G132-G132*Resumen!$S$11)/Resumen!$S$12)*((1+Resumen!$S$13)*((1+Resumen!$S$13)^Resumen!$S$12-1)/Resumen!$S$13))</f>
        <v/>
      </c>
      <c r="R132" s="534" t="str">
        <f t="shared" ref="R132:R136" si="35">IF(G132="","",O132+Q132)</f>
        <v/>
      </c>
    </row>
    <row r="133" ht="25.5" hidden="1" customHeight="1" outlineLevel="1">
      <c r="A133" s="528" t="s">
        <v>238</v>
      </c>
      <c r="B133" s="528" t="s">
        <v>523</v>
      </c>
      <c r="C133" s="529" t="s">
        <v>155</v>
      </c>
      <c r="D133" s="530" t="s">
        <v>524</v>
      </c>
      <c r="E133" s="531">
        <v>9000.0</v>
      </c>
      <c r="F133" s="532"/>
      <c r="G133" s="533"/>
      <c r="H133" s="534" t="str">
        <f>IF(G133="","",G133*Resumen!$G$6)</f>
        <v/>
      </c>
      <c r="I133" s="535" t="s">
        <v>251</v>
      </c>
      <c r="J133" s="536"/>
      <c r="K133" s="530"/>
      <c r="L133" s="534">
        <v>0.0</v>
      </c>
      <c r="M133" s="530" t="s">
        <v>111</v>
      </c>
      <c r="N133" s="115" t="s">
        <v>113</v>
      </c>
      <c r="O133" s="534" t="str">
        <f>IF(G133="","",G133*Resumen!$S$11)</f>
        <v/>
      </c>
      <c r="P133" s="534" t="str">
        <f>IF(G133="","",(G133-G133*Resumen!$S$11)/Resumen!$S$12)</f>
        <v/>
      </c>
      <c r="Q133" s="534" t="str">
        <f>IF(G133="","",((G133-G133*Resumen!$S$11)/Resumen!$S$12)*((1+Resumen!$S$13)*((1+Resumen!$S$13)^Resumen!$S$12-1)/Resumen!$S$13))</f>
        <v/>
      </c>
      <c r="R133" s="534" t="str">
        <f t="shared" si="35"/>
        <v/>
      </c>
    </row>
    <row r="134" ht="25.5" hidden="1" customHeight="1" outlineLevel="1">
      <c r="A134" s="528" t="s">
        <v>104</v>
      </c>
      <c r="B134" s="528" t="s">
        <v>525</v>
      </c>
      <c r="C134" s="529" t="s">
        <v>155</v>
      </c>
      <c r="D134" s="530" t="s">
        <v>526</v>
      </c>
      <c r="E134" s="531">
        <v>2034.52</v>
      </c>
      <c r="F134" s="532"/>
      <c r="G134" s="533"/>
      <c r="H134" s="534" t="str">
        <f>IF(G134="","",G134*Resumen!$G$6)</f>
        <v/>
      </c>
      <c r="I134" s="535" t="s">
        <v>251</v>
      </c>
      <c r="J134" s="536" t="s">
        <v>527</v>
      </c>
      <c r="K134" s="530"/>
      <c r="L134" s="534"/>
      <c r="M134" s="530" t="s">
        <v>111</v>
      </c>
      <c r="N134" s="115" t="s">
        <v>113</v>
      </c>
      <c r="O134" s="534" t="str">
        <f>IF(G134="","",G134*Resumen!$S$11)</f>
        <v/>
      </c>
      <c r="P134" s="534" t="str">
        <f>IF(G134="","",(G134-G134*Resumen!$S$11)/Resumen!$S$12)</f>
        <v/>
      </c>
      <c r="Q134" s="534" t="str">
        <f>IF(G134="","",((G134-G134*Resumen!$S$11)/Resumen!$S$12)*((1+Resumen!$S$13)*((1+Resumen!$S$13)^Resumen!$S$12-1)/Resumen!$S$13))</f>
        <v/>
      </c>
      <c r="R134" s="534" t="str">
        <f t="shared" si="35"/>
        <v/>
      </c>
    </row>
    <row r="135" ht="25.5" hidden="1" customHeight="1" outlineLevel="1">
      <c r="A135" s="528" t="s">
        <v>104</v>
      </c>
      <c r="B135" s="528" t="s">
        <v>528</v>
      </c>
      <c r="C135" s="529" t="s">
        <v>529</v>
      </c>
      <c r="D135" s="530" t="s">
        <v>530</v>
      </c>
      <c r="E135" s="531">
        <v>731.81</v>
      </c>
      <c r="F135" s="532"/>
      <c r="G135" s="533"/>
      <c r="H135" s="534" t="str">
        <f>IF(G135="","",G135*Resumen!$G$6)</f>
        <v/>
      </c>
      <c r="I135" s="535" t="s">
        <v>251</v>
      </c>
      <c r="J135" s="536" t="s">
        <v>531</v>
      </c>
      <c r="K135" s="530"/>
      <c r="L135" s="534"/>
      <c r="M135" s="530" t="s">
        <v>111</v>
      </c>
      <c r="N135" s="115" t="s">
        <v>113</v>
      </c>
      <c r="O135" s="534" t="str">
        <f>IF(G135="","",G135*Resumen!$S$11)</f>
        <v/>
      </c>
      <c r="P135" s="534" t="str">
        <f>IF(G135="","",(G135-G135*Resumen!$S$11)/Resumen!$S$12)</f>
        <v/>
      </c>
      <c r="Q135" s="534" t="str">
        <f>IF(G135="","",((G135-G135*Resumen!$S$11)/Resumen!$S$12)*((1+Resumen!$S$13)*((1+Resumen!$S$13)^Resumen!$S$12-1)/Resumen!$S$13))</f>
        <v/>
      </c>
      <c r="R135" s="534" t="str">
        <f t="shared" si="35"/>
        <v/>
      </c>
    </row>
    <row r="136" ht="25.5" hidden="1" customHeight="1" outlineLevel="1">
      <c r="A136" s="528" t="s">
        <v>104</v>
      </c>
      <c r="B136" s="528" t="s">
        <v>532</v>
      </c>
      <c r="C136" s="529" t="s">
        <v>533</v>
      </c>
      <c r="D136" s="530" t="s">
        <v>534</v>
      </c>
      <c r="E136" s="531">
        <v>23403.53</v>
      </c>
      <c r="F136" s="532"/>
      <c r="G136" s="533"/>
      <c r="H136" s="534" t="str">
        <f>IF(G136="","",G136*Resumen!$G$6)</f>
        <v/>
      </c>
      <c r="I136" s="535" t="s">
        <v>251</v>
      </c>
      <c r="J136" s="536" t="s">
        <v>535</v>
      </c>
      <c r="K136" s="530"/>
      <c r="L136" s="534"/>
      <c r="M136" s="530" t="s">
        <v>111</v>
      </c>
      <c r="N136" s="115" t="s">
        <v>113</v>
      </c>
      <c r="O136" s="534" t="str">
        <f>IF(G136="","",G136*Resumen!$S$11)</f>
        <v/>
      </c>
      <c r="P136" s="534" t="str">
        <f>IF(G136="","",(G136-G136*Resumen!$S$11)/Resumen!$S$12)</f>
        <v/>
      </c>
      <c r="Q136" s="534" t="str">
        <f>IF(G136="","",((G136-G136*Resumen!$S$11)/Resumen!$S$12)*((1+Resumen!$S$13)*((1+Resumen!$S$13)^Resumen!$S$12-1)/Resumen!$S$13))</f>
        <v/>
      </c>
      <c r="R136" s="534" t="str">
        <f t="shared" si="35"/>
        <v/>
      </c>
    </row>
    <row r="137" ht="25.5" customHeight="1" collapsed="1">
      <c r="A137" s="537" t="s">
        <v>536</v>
      </c>
      <c r="B137" s="538"/>
      <c r="C137" s="538"/>
      <c r="D137" s="538"/>
      <c r="E137" s="538"/>
      <c r="F137" s="539">
        <f>SUMIFS(F6:F148,I6:I148,"&lt;&gt;",I6:I148,"&lt;&gt;No comercial",I6:I148,"&lt;&gt;Permutada",I6:I148,"&lt;&gt;No disponible")</f>
        <v>50208.01</v>
      </c>
      <c r="G137" s="540">
        <f>SUMIFS(G6:G148,I6:I148,"&lt;&gt;",I6:I148,"&lt;&gt;No comercial",I6:I148,"&lt;&gt;Permutada",I6:I148,"&lt;&gt;No disponible")</f>
        <v>1619103.933</v>
      </c>
      <c r="H137" s="540">
        <f>G137*Resumen!$G$6</f>
        <v>2452942459</v>
      </c>
      <c r="I137" s="541"/>
      <c r="J137" s="542"/>
      <c r="K137" s="542"/>
      <c r="L137" s="542"/>
      <c r="M137" s="542"/>
      <c r="N137" s="542"/>
      <c r="O137" s="538"/>
      <c r="P137" s="538"/>
      <c r="Q137" s="538"/>
      <c r="R137" s="538"/>
    </row>
    <row r="138" ht="15.75" customHeight="1">
      <c r="A138" s="543"/>
      <c r="B138" s="8"/>
      <c r="C138" s="8"/>
      <c r="D138" s="8"/>
      <c r="E138" s="8"/>
      <c r="F138" s="54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ht="15.75" customHeight="1">
      <c r="A139" s="543"/>
      <c r="B139" s="8"/>
      <c r="C139" s="8"/>
      <c r="D139" s="8"/>
      <c r="E139" s="8"/>
      <c r="F139" s="54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ht="15.75" customHeight="1">
      <c r="A140" s="543"/>
      <c r="B140" s="8"/>
      <c r="C140" s="8"/>
      <c r="D140" s="8"/>
      <c r="E140" s="8"/>
      <c r="F140" s="54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ht="15.75" customHeight="1">
      <c r="A141" s="543"/>
      <c r="B141" s="8"/>
      <c r="C141" s="8"/>
      <c r="D141" s="8"/>
      <c r="E141" s="8"/>
      <c r="F141" s="54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ht="15.75" customHeight="1">
      <c r="A142" s="543"/>
      <c r="B142" s="8"/>
      <c r="C142" s="8"/>
      <c r="D142" s="8"/>
      <c r="E142" s="8"/>
      <c r="F142" s="54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ht="15.75" customHeight="1">
      <c r="A143" s="543"/>
      <c r="B143" s="8"/>
      <c r="C143" s="8"/>
      <c r="D143" s="8"/>
      <c r="E143" s="8"/>
      <c r="F143" s="54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ht="15.75" customHeight="1">
      <c r="A144" s="543"/>
      <c r="B144" s="8"/>
      <c r="C144" s="8"/>
      <c r="D144" s="8"/>
      <c r="E144" s="8"/>
      <c r="F144" s="54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ht="15.75" customHeight="1">
      <c r="A145" s="543"/>
      <c r="B145" s="8"/>
      <c r="C145" s="8"/>
      <c r="D145" s="8"/>
      <c r="E145" s="8"/>
      <c r="F145" s="54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ht="25.5" customHeight="1">
      <c r="A146" s="543"/>
      <c r="B146" s="8"/>
      <c r="C146" s="8"/>
      <c r="D146" s="8"/>
      <c r="E146" s="8"/>
      <c r="F146" s="54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ht="25.5" customHeight="1">
      <c r="A147" s="543"/>
      <c r="B147" s="8"/>
      <c r="C147" s="8"/>
      <c r="D147" s="8"/>
      <c r="E147" s="8"/>
      <c r="F147" s="54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ht="25.5" customHeight="1">
      <c r="A148" s="543"/>
      <c r="B148" s="8"/>
      <c r="C148" s="8"/>
      <c r="D148" s="8"/>
      <c r="E148" s="8"/>
      <c r="F148" s="544"/>
      <c r="G148" s="8"/>
      <c r="H148" s="8"/>
      <c r="I148" s="543"/>
      <c r="J148" s="8"/>
      <c r="K148" s="8"/>
      <c r="L148" s="8"/>
      <c r="M148" s="8"/>
      <c r="N148" s="8"/>
      <c r="O148" s="8"/>
      <c r="P148" s="8"/>
      <c r="Q148" s="8"/>
      <c r="R148" s="8"/>
    </row>
    <row r="149" ht="31.5" customHeight="1">
      <c r="A149" s="543"/>
      <c r="B149" s="8"/>
      <c r="C149" s="8"/>
      <c r="D149" s="8"/>
      <c r="E149" s="8"/>
      <c r="F149" s="544"/>
      <c r="G149" s="8"/>
      <c r="H149" s="8"/>
      <c r="I149" s="543"/>
      <c r="J149" s="8"/>
      <c r="K149" s="8"/>
      <c r="L149" s="8"/>
      <c r="M149" s="8"/>
      <c r="N149" s="8"/>
      <c r="O149" s="8"/>
      <c r="P149" s="8"/>
      <c r="Q149" s="8"/>
      <c r="R149" s="8"/>
    </row>
    <row r="150" ht="15.75" customHeight="1">
      <c r="A150" s="543"/>
      <c r="B150" s="8"/>
      <c r="C150" s="8"/>
      <c r="D150" s="8"/>
      <c r="E150" s="8"/>
      <c r="F150" s="544"/>
      <c r="G150" s="8"/>
      <c r="H150" s="8"/>
      <c r="I150" s="543"/>
      <c r="J150" s="8"/>
      <c r="K150" s="8"/>
      <c r="L150" s="8"/>
      <c r="M150" s="8"/>
      <c r="N150" s="8"/>
      <c r="O150" s="8"/>
      <c r="P150" s="8"/>
      <c r="Q150" s="8"/>
      <c r="R150" s="8"/>
    </row>
    <row r="151" ht="15.75" customHeight="1">
      <c r="A151" s="543"/>
      <c r="B151" s="8"/>
      <c r="C151" s="8"/>
      <c r="D151" s="8"/>
      <c r="E151" s="8"/>
      <c r="F151" s="544"/>
      <c r="G151" s="8"/>
      <c r="H151" s="8"/>
      <c r="I151" s="543"/>
      <c r="J151" s="8"/>
      <c r="K151" s="8"/>
      <c r="L151" s="8"/>
      <c r="M151" s="8"/>
      <c r="N151" s="8"/>
      <c r="O151" s="8"/>
      <c r="P151" s="8"/>
      <c r="Q151" s="8"/>
      <c r="R151" s="8"/>
    </row>
    <row r="152" ht="15.75" customHeight="1">
      <c r="A152" s="543"/>
      <c r="B152" s="8"/>
      <c r="C152" s="8"/>
      <c r="D152" s="8"/>
      <c r="E152" s="8"/>
      <c r="F152" s="544"/>
      <c r="G152" s="8"/>
      <c r="H152" s="8"/>
      <c r="I152" s="543"/>
      <c r="J152" s="8"/>
      <c r="K152" s="8"/>
      <c r="L152" s="8"/>
      <c r="M152" s="8"/>
      <c r="N152" s="8"/>
      <c r="O152" s="8"/>
      <c r="P152" s="8"/>
      <c r="Q152" s="8"/>
      <c r="R152" s="8"/>
    </row>
    <row r="153" ht="15.75" customHeight="1">
      <c r="A153" s="543"/>
      <c r="B153" s="8"/>
      <c r="C153" s="8"/>
      <c r="D153" s="8"/>
      <c r="E153" s="8"/>
      <c r="F153" s="544"/>
      <c r="G153" s="8"/>
      <c r="H153" s="8"/>
      <c r="I153" s="543"/>
      <c r="J153" s="8"/>
      <c r="K153" s="8"/>
      <c r="L153" s="8"/>
      <c r="M153" s="8"/>
      <c r="N153" s="8"/>
      <c r="O153" s="8"/>
      <c r="P153" s="8"/>
      <c r="Q153" s="8"/>
      <c r="R153" s="8"/>
    </row>
    <row r="154" ht="15.75" customHeight="1">
      <c r="A154" s="543"/>
      <c r="B154" s="8"/>
      <c r="C154" s="8"/>
      <c r="D154" s="8"/>
      <c r="E154" s="8"/>
      <c r="F154" s="544"/>
      <c r="G154" s="8"/>
      <c r="H154" s="8"/>
      <c r="I154" s="543"/>
      <c r="J154" s="8"/>
      <c r="K154" s="8"/>
      <c r="L154" s="8"/>
      <c r="M154" s="8"/>
      <c r="N154" s="8"/>
      <c r="O154" s="8"/>
      <c r="P154" s="8"/>
      <c r="Q154" s="8"/>
      <c r="R154" s="8"/>
    </row>
    <row r="155" ht="15.75" customHeight="1">
      <c r="A155" s="543"/>
      <c r="B155" s="8"/>
      <c r="C155" s="8"/>
      <c r="D155" s="8"/>
      <c r="E155" s="8"/>
      <c r="F155" s="544"/>
      <c r="G155" s="8"/>
      <c r="H155" s="8"/>
      <c r="I155" s="543"/>
      <c r="J155" s="8"/>
      <c r="K155" s="8"/>
      <c r="L155" s="8"/>
      <c r="M155" s="8"/>
      <c r="N155" s="8"/>
      <c r="O155" s="8"/>
      <c r="P155" s="8"/>
      <c r="Q155" s="8"/>
      <c r="R155" s="8"/>
    </row>
    <row r="156" ht="15.75" customHeight="1">
      <c r="A156" s="543"/>
      <c r="B156" s="8"/>
      <c r="C156" s="8"/>
      <c r="D156" s="8"/>
      <c r="E156" s="8"/>
      <c r="F156" s="544"/>
      <c r="G156" s="8"/>
      <c r="H156" s="8"/>
      <c r="I156" s="543"/>
      <c r="J156" s="8"/>
      <c r="K156" s="8"/>
      <c r="L156" s="8"/>
      <c r="M156" s="8"/>
      <c r="N156" s="8"/>
      <c r="O156" s="8"/>
      <c r="P156" s="8"/>
      <c r="Q156" s="8"/>
      <c r="R156" s="8"/>
    </row>
    <row r="157" ht="15.75" customHeight="1">
      <c r="A157" s="543"/>
      <c r="B157" s="8"/>
      <c r="C157" s="8"/>
      <c r="D157" s="8"/>
      <c r="E157" s="8"/>
      <c r="F157" s="544"/>
      <c r="G157" s="8"/>
      <c r="H157" s="8"/>
      <c r="I157" s="543"/>
      <c r="J157" s="8"/>
      <c r="K157" s="8"/>
      <c r="L157" s="8"/>
      <c r="M157" s="8"/>
      <c r="N157" s="8"/>
      <c r="O157" s="8"/>
      <c r="P157" s="8"/>
      <c r="Q157" s="8"/>
      <c r="R157" s="8"/>
    </row>
    <row r="158" ht="15.75" customHeight="1">
      <c r="A158" s="543"/>
      <c r="B158" s="8"/>
      <c r="C158" s="8"/>
      <c r="D158" s="8"/>
      <c r="E158" s="8"/>
      <c r="F158" s="544"/>
      <c r="G158" s="8"/>
      <c r="H158" s="8"/>
      <c r="I158" s="543"/>
      <c r="J158" s="8"/>
      <c r="K158" s="8"/>
      <c r="L158" s="8"/>
      <c r="M158" s="8"/>
      <c r="N158" s="8"/>
      <c r="O158" s="8"/>
      <c r="P158" s="8"/>
      <c r="Q158" s="8"/>
      <c r="R158" s="8"/>
    </row>
    <row r="159" ht="15.75" customHeight="1">
      <c r="A159" s="543"/>
      <c r="B159" s="8"/>
      <c r="C159" s="8"/>
      <c r="D159" s="8"/>
      <c r="E159" s="8"/>
      <c r="F159" s="544"/>
      <c r="G159" s="8"/>
      <c r="H159" s="8"/>
      <c r="I159" s="543"/>
      <c r="J159" s="8"/>
      <c r="K159" s="8"/>
      <c r="L159" s="8"/>
      <c r="M159" s="8"/>
      <c r="N159" s="8"/>
      <c r="O159" s="8"/>
      <c r="P159" s="8"/>
      <c r="Q159" s="8"/>
      <c r="R159" s="8"/>
    </row>
    <row r="160" ht="15.75" customHeight="1">
      <c r="A160" s="543"/>
      <c r="B160" s="8"/>
      <c r="C160" s="8"/>
      <c r="D160" s="8"/>
      <c r="E160" s="8"/>
      <c r="F160" s="544"/>
      <c r="G160" s="8"/>
      <c r="H160" s="8"/>
      <c r="I160" s="543"/>
      <c r="J160" s="8"/>
      <c r="K160" s="8"/>
      <c r="L160" s="8"/>
      <c r="M160" s="8"/>
      <c r="N160" s="8"/>
      <c r="O160" s="8"/>
      <c r="P160" s="8"/>
      <c r="Q160" s="8"/>
      <c r="R160" s="8"/>
    </row>
    <row r="161" ht="15.75" customHeight="1">
      <c r="A161" s="543"/>
      <c r="B161" s="8"/>
      <c r="C161" s="8"/>
      <c r="D161" s="8"/>
      <c r="E161" s="8"/>
      <c r="F161" s="544"/>
      <c r="G161" s="8"/>
      <c r="H161" s="8"/>
      <c r="I161" s="543"/>
      <c r="J161" s="8"/>
      <c r="K161" s="8"/>
      <c r="L161" s="8"/>
      <c r="M161" s="8"/>
      <c r="N161" s="8"/>
      <c r="O161" s="8"/>
      <c r="P161" s="8"/>
      <c r="Q161" s="8"/>
      <c r="R161" s="8"/>
    </row>
    <row r="162" ht="15.75" customHeight="1">
      <c r="A162" s="543"/>
      <c r="B162" s="8"/>
      <c r="C162" s="8"/>
      <c r="D162" s="8"/>
      <c r="E162" s="8"/>
      <c r="F162" s="544"/>
      <c r="G162" s="8"/>
      <c r="H162" s="8"/>
      <c r="I162" s="543"/>
      <c r="J162" s="8"/>
      <c r="K162" s="8"/>
      <c r="L162" s="8"/>
      <c r="M162" s="8"/>
      <c r="N162" s="8"/>
      <c r="O162" s="8"/>
      <c r="P162" s="8"/>
      <c r="Q162" s="8"/>
      <c r="R162" s="8"/>
    </row>
    <row r="163" ht="15.75" customHeight="1">
      <c r="A163" s="543"/>
      <c r="B163" s="8"/>
      <c r="C163" s="8"/>
      <c r="D163" s="8"/>
      <c r="E163" s="8"/>
      <c r="F163" s="544"/>
      <c r="G163" s="8"/>
      <c r="H163" s="8"/>
      <c r="I163" s="543"/>
      <c r="J163" s="8"/>
      <c r="K163" s="8"/>
      <c r="L163" s="8"/>
      <c r="M163" s="8"/>
      <c r="N163" s="8"/>
      <c r="O163" s="8"/>
      <c r="P163" s="8"/>
      <c r="Q163" s="8"/>
      <c r="R163" s="8"/>
    </row>
    <row r="164" ht="15.75" customHeight="1">
      <c r="A164" s="543"/>
      <c r="B164" s="8"/>
      <c r="C164" s="8"/>
      <c r="D164" s="8"/>
      <c r="E164" s="8"/>
      <c r="F164" s="544"/>
      <c r="G164" s="8"/>
      <c r="H164" s="8"/>
      <c r="I164" s="543"/>
      <c r="J164" s="8"/>
      <c r="K164" s="8"/>
      <c r="L164" s="8"/>
      <c r="M164" s="8"/>
      <c r="N164" s="8"/>
      <c r="O164" s="8"/>
      <c r="P164" s="8"/>
      <c r="Q164" s="8"/>
      <c r="R164" s="8"/>
    </row>
    <row r="165" ht="15.75" customHeight="1">
      <c r="A165" s="543"/>
      <c r="B165" s="8"/>
      <c r="C165" s="8"/>
      <c r="D165" s="8"/>
      <c r="E165" s="8"/>
      <c r="F165" s="544"/>
      <c r="G165" s="8"/>
      <c r="H165" s="8"/>
      <c r="I165" s="543"/>
      <c r="J165" s="8"/>
      <c r="K165" s="8"/>
      <c r="L165" s="8"/>
      <c r="M165" s="8"/>
      <c r="N165" s="8"/>
      <c r="O165" s="8"/>
      <c r="P165" s="8"/>
      <c r="Q165" s="8"/>
      <c r="R165" s="8"/>
    </row>
    <row r="166" ht="15.75" customHeight="1">
      <c r="A166" s="543"/>
      <c r="B166" s="8"/>
      <c r="C166" s="8"/>
      <c r="D166" s="8"/>
      <c r="E166" s="8"/>
      <c r="F166" s="544"/>
      <c r="G166" s="8"/>
      <c r="H166" s="8"/>
      <c r="I166" s="543"/>
      <c r="J166" s="8"/>
      <c r="K166" s="8"/>
      <c r="L166" s="8"/>
      <c r="M166" s="8"/>
      <c r="N166" s="8"/>
      <c r="O166" s="8"/>
      <c r="P166" s="8"/>
      <c r="Q166" s="8"/>
      <c r="R166" s="8"/>
    </row>
    <row r="167" ht="15.75" customHeight="1">
      <c r="A167" s="543"/>
      <c r="B167" s="8"/>
      <c r="C167" s="8"/>
      <c r="D167" s="8"/>
      <c r="E167" s="8"/>
      <c r="F167" s="544"/>
      <c r="G167" s="8"/>
      <c r="H167" s="8"/>
      <c r="I167" s="543"/>
      <c r="J167" s="8"/>
      <c r="K167" s="8"/>
      <c r="L167" s="8"/>
      <c r="M167" s="8"/>
      <c r="N167" s="8"/>
      <c r="O167" s="8"/>
      <c r="P167" s="8"/>
      <c r="Q167" s="8"/>
      <c r="R167" s="8"/>
    </row>
    <row r="168" ht="15.75" customHeight="1">
      <c r="A168" s="543"/>
      <c r="B168" s="8"/>
      <c r="C168" s="8"/>
      <c r="D168" s="8"/>
      <c r="E168" s="8"/>
      <c r="F168" s="544"/>
      <c r="G168" s="8"/>
      <c r="H168" s="8"/>
      <c r="I168" s="543"/>
      <c r="J168" s="8"/>
      <c r="K168" s="8"/>
      <c r="L168" s="8"/>
      <c r="M168" s="8"/>
      <c r="N168" s="8"/>
      <c r="O168" s="8"/>
      <c r="P168" s="8"/>
      <c r="Q168" s="8"/>
      <c r="R168" s="8"/>
    </row>
    <row r="169" ht="15.75" customHeight="1">
      <c r="A169" s="543"/>
      <c r="B169" s="8"/>
      <c r="C169" s="8"/>
      <c r="D169" s="8"/>
      <c r="E169" s="8"/>
      <c r="F169" s="544"/>
      <c r="G169" s="8"/>
      <c r="H169" s="8"/>
      <c r="I169" s="543"/>
      <c r="J169" s="8"/>
      <c r="K169" s="8"/>
      <c r="L169" s="8"/>
      <c r="M169" s="8"/>
      <c r="N169" s="8"/>
      <c r="O169" s="8"/>
      <c r="P169" s="8"/>
      <c r="Q169" s="8"/>
      <c r="R169" s="8"/>
    </row>
    <row r="170" ht="15.75" customHeight="1">
      <c r="A170" s="543"/>
      <c r="B170" s="8"/>
      <c r="C170" s="8"/>
      <c r="D170" s="8"/>
      <c r="E170" s="8"/>
      <c r="F170" s="544"/>
      <c r="G170" s="8"/>
      <c r="H170" s="8"/>
      <c r="I170" s="543"/>
      <c r="J170" s="8"/>
      <c r="K170" s="8"/>
      <c r="L170" s="8"/>
      <c r="M170" s="8"/>
      <c r="N170" s="8"/>
      <c r="O170" s="8"/>
      <c r="P170" s="8"/>
      <c r="Q170" s="8"/>
      <c r="R170" s="8"/>
    </row>
    <row r="171" ht="15.75" customHeight="1">
      <c r="A171" s="543"/>
      <c r="B171" s="8"/>
      <c r="C171" s="8"/>
      <c r="D171" s="8"/>
      <c r="E171" s="8"/>
      <c r="F171" s="544"/>
      <c r="G171" s="8"/>
      <c r="H171" s="8"/>
      <c r="I171" s="543"/>
      <c r="J171" s="8"/>
      <c r="K171" s="8"/>
      <c r="L171" s="8"/>
      <c r="M171" s="8"/>
      <c r="N171" s="8"/>
      <c r="O171" s="8"/>
      <c r="P171" s="8"/>
      <c r="Q171" s="8"/>
      <c r="R171" s="8"/>
    </row>
    <row r="172" ht="15.75" customHeight="1">
      <c r="A172" s="543"/>
      <c r="B172" s="8"/>
      <c r="C172" s="8"/>
      <c r="D172" s="8"/>
      <c r="E172" s="8"/>
      <c r="F172" s="544"/>
      <c r="G172" s="8"/>
      <c r="H172" s="8"/>
      <c r="I172" s="543"/>
      <c r="J172" s="8"/>
      <c r="K172" s="8"/>
      <c r="L172" s="8"/>
      <c r="M172" s="8"/>
      <c r="N172" s="8"/>
      <c r="O172" s="8"/>
      <c r="P172" s="8"/>
      <c r="Q172" s="8"/>
      <c r="R172" s="8"/>
    </row>
    <row r="173" ht="15.75" customHeight="1">
      <c r="A173" s="543"/>
      <c r="B173" s="8"/>
      <c r="C173" s="8"/>
      <c r="D173" s="8"/>
      <c r="E173" s="8"/>
      <c r="F173" s="544"/>
      <c r="G173" s="8"/>
      <c r="H173" s="8"/>
      <c r="I173" s="543"/>
      <c r="J173" s="8"/>
      <c r="K173" s="8"/>
      <c r="L173" s="8"/>
      <c r="M173" s="8"/>
      <c r="N173" s="8"/>
      <c r="O173" s="8"/>
      <c r="P173" s="8"/>
      <c r="Q173" s="8"/>
      <c r="R173" s="8"/>
    </row>
    <row r="174" ht="15.75" customHeight="1">
      <c r="A174" s="543"/>
      <c r="B174" s="8"/>
      <c r="C174" s="8"/>
      <c r="D174" s="8"/>
      <c r="E174" s="8"/>
      <c r="F174" s="544"/>
      <c r="G174" s="8"/>
      <c r="H174" s="8"/>
      <c r="I174" s="543"/>
      <c r="J174" s="8"/>
      <c r="K174" s="8"/>
      <c r="L174" s="8"/>
      <c r="M174" s="8"/>
      <c r="N174" s="8"/>
      <c r="O174" s="8"/>
      <c r="P174" s="8"/>
      <c r="Q174" s="8"/>
      <c r="R174" s="8"/>
    </row>
    <row r="175" ht="15.75" customHeight="1">
      <c r="A175" s="543"/>
      <c r="B175" s="8"/>
      <c r="C175" s="8"/>
      <c r="D175" s="8"/>
      <c r="E175" s="8"/>
      <c r="F175" s="544"/>
      <c r="G175" s="8"/>
      <c r="H175" s="8"/>
      <c r="I175" s="543"/>
      <c r="J175" s="8"/>
      <c r="K175" s="8"/>
      <c r="L175" s="8"/>
      <c r="M175" s="8"/>
      <c r="N175" s="8"/>
      <c r="O175" s="8"/>
      <c r="P175" s="8"/>
      <c r="Q175" s="8"/>
      <c r="R175" s="8"/>
    </row>
    <row r="176" ht="15.75" customHeight="1">
      <c r="A176" s="543"/>
      <c r="B176" s="8"/>
      <c r="C176" s="8"/>
      <c r="D176" s="8"/>
      <c r="E176" s="8"/>
      <c r="F176" s="544"/>
      <c r="G176" s="8"/>
      <c r="H176" s="8"/>
      <c r="I176" s="543"/>
      <c r="J176" s="8"/>
      <c r="K176" s="8"/>
      <c r="L176" s="8"/>
      <c r="M176" s="8"/>
      <c r="N176" s="8"/>
      <c r="O176" s="8"/>
      <c r="P176" s="8"/>
      <c r="Q176" s="8"/>
      <c r="R176" s="8"/>
    </row>
    <row r="177" ht="15.75" customHeight="1">
      <c r="A177" s="543"/>
      <c r="B177" s="8"/>
      <c r="C177" s="8"/>
      <c r="D177" s="8"/>
      <c r="E177" s="8"/>
      <c r="F177" s="544"/>
      <c r="G177" s="8"/>
      <c r="H177" s="8"/>
      <c r="I177" s="543"/>
      <c r="J177" s="8"/>
      <c r="K177" s="8"/>
      <c r="L177" s="8"/>
      <c r="M177" s="8"/>
      <c r="N177" s="8"/>
      <c r="O177" s="8"/>
      <c r="P177" s="8"/>
      <c r="Q177" s="8"/>
      <c r="R177" s="8"/>
    </row>
    <row r="178" ht="15.75" customHeight="1">
      <c r="A178" s="543"/>
      <c r="B178" s="8"/>
      <c r="C178" s="8"/>
      <c r="D178" s="8"/>
      <c r="E178" s="8"/>
      <c r="F178" s="544"/>
      <c r="G178" s="8"/>
      <c r="H178" s="8"/>
      <c r="I178" s="543"/>
      <c r="J178" s="8"/>
      <c r="K178" s="8"/>
      <c r="L178" s="8"/>
      <c r="M178" s="8"/>
      <c r="N178" s="8"/>
      <c r="O178" s="8"/>
      <c r="P178" s="8"/>
      <c r="Q178" s="8"/>
      <c r="R178" s="8"/>
    </row>
    <row r="179" ht="15.75" customHeight="1">
      <c r="A179" s="543"/>
      <c r="B179" s="8"/>
      <c r="C179" s="8"/>
      <c r="D179" s="8"/>
      <c r="E179" s="8"/>
      <c r="F179" s="544"/>
      <c r="G179" s="8"/>
      <c r="H179" s="8"/>
      <c r="I179" s="543"/>
      <c r="J179" s="8"/>
      <c r="K179" s="8"/>
      <c r="L179" s="8"/>
      <c r="M179" s="8"/>
      <c r="N179" s="8"/>
      <c r="O179" s="8"/>
      <c r="P179" s="8"/>
      <c r="Q179" s="8"/>
      <c r="R179" s="8"/>
    </row>
    <row r="180" ht="15.75" customHeight="1">
      <c r="A180" s="543"/>
      <c r="B180" s="8"/>
      <c r="C180" s="8"/>
      <c r="D180" s="8"/>
      <c r="E180" s="8"/>
      <c r="F180" s="544"/>
      <c r="G180" s="8"/>
      <c r="H180" s="8"/>
      <c r="I180" s="543"/>
      <c r="J180" s="8"/>
      <c r="K180" s="8"/>
      <c r="L180" s="8"/>
      <c r="M180" s="8"/>
      <c r="N180" s="8"/>
      <c r="O180" s="8"/>
      <c r="P180" s="8"/>
      <c r="Q180" s="8"/>
      <c r="R180" s="8"/>
    </row>
    <row r="181" ht="15.75" customHeight="1">
      <c r="A181" s="543"/>
      <c r="B181" s="8"/>
      <c r="C181" s="8"/>
      <c r="D181" s="8"/>
      <c r="E181" s="8"/>
      <c r="F181" s="544"/>
      <c r="G181" s="8"/>
      <c r="H181" s="8"/>
      <c r="I181" s="543"/>
      <c r="J181" s="8"/>
      <c r="K181" s="8"/>
      <c r="L181" s="8"/>
      <c r="M181" s="8"/>
      <c r="N181" s="8"/>
      <c r="O181" s="8"/>
      <c r="P181" s="8"/>
      <c r="Q181" s="8"/>
      <c r="R181" s="8"/>
    </row>
    <row r="182" ht="15.75" customHeight="1">
      <c r="A182" s="543"/>
      <c r="B182" s="8"/>
      <c r="C182" s="8"/>
      <c r="D182" s="8"/>
      <c r="E182" s="8"/>
      <c r="F182" s="544"/>
      <c r="G182" s="8"/>
      <c r="H182" s="8"/>
      <c r="I182" s="543"/>
      <c r="J182" s="8"/>
      <c r="K182" s="8"/>
      <c r="L182" s="8"/>
      <c r="M182" s="8"/>
      <c r="N182" s="8"/>
      <c r="O182" s="8"/>
      <c r="P182" s="8"/>
      <c r="Q182" s="8"/>
      <c r="R182" s="8"/>
    </row>
    <row r="183" ht="15.75" customHeight="1">
      <c r="A183" s="543"/>
      <c r="B183" s="8"/>
      <c r="C183" s="8"/>
      <c r="D183" s="8"/>
      <c r="E183" s="8"/>
      <c r="F183" s="544"/>
      <c r="G183" s="8"/>
      <c r="H183" s="8"/>
      <c r="I183" s="543"/>
      <c r="J183" s="8"/>
      <c r="K183" s="8"/>
      <c r="L183" s="8"/>
      <c r="M183" s="8"/>
      <c r="N183" s="8"/>
      <c r="O183" s="8"/>
      <c r="P183" s="8"/>
      <c r="Q183" s="8"/>
      <c r="R183" s="8"/>
    </row>
    <row r="184" ht="15.75" customHeight="1">
      <c r="A184" s="543"/>
      <c r="B184" s="8"/>
      <c r="C184" s="8"/>
      <c r="D184" s="8"/>
      <c r="E184" s="8"/>
      <c r="F184" s="544"/>
      <c r="G184" s="8"/>
      <c r="H184" s="8"/>
      <c r="I184" s="543"/>
      <c r="J184" s="8"/>
      <c r="K184" s="8"/>
      <c r="L184" s="8"/>
      <c r="M184" s="8"/>
      <c r="N184" s="8"/>
      <c r="O184" s="8"/>
      <c r="P184" s="8"/>
      <c r="Q184" s="8"/>
      <c r="R184" s="8"/>
    </row>
    <row r="185" ht="15.75" customHeight="1">
      <c r="A185" s="543"/>
      <c r="B185" s="8"/>
      <c r="C185" s="8"/>
      <c r="D185" s="8"/>
      <c r="E185" s="8"/>
      <c r="F185" s="544"/>
      <c r="G185" s="8"/>
      <c r="H185" s="8"/>
      <c r="I185" s="543"/>
      <c r="J185" s="8"/>
      <c r="K185" s="8"/>
      <c r="L185" s="8"/>
      <c r="M185" s="8"/>
      <c r="N185" s="8"/>
      <c r="O185" s="8"/>
      <c r="P185" s="8"/>
      <c r="Q185" s="8"/>
      <c r="R185" s="8"/>
    </row>
    <row r="186" ht="15.75" customHeight="1">
      <c r="A186" s="543"/>
      <c r="B186" s="8"/>
      <c r="C186" s="8"/>
      <c r="D186" s="8"/>
      <c r="E186" s="8"/>
      <c r="F186" s="544"/>
      <c r="G186" s="8"/>
      <c r="H186" s="8"/>
      <c r="I186" s="543"/>
      <c r="J186" s="8"/>
      <c r="K186" s="8"/>
      <c r="L186" s="8"/>
      <c r="M186" s="8"/>
      <c r="N186" s="8"/>
      <c r="O186" s="8"/>
      <c r="P186" s="8"/>
      <c r="Q186" s="8"/>
      <c r="R186" s="8"/>
    </row>
    <row r="187" ht="15.75" customHeight="1">
      <c r="A187" s="543"/>
      <c r="B187" s="8"/>
      <c r="C187" s="8"/>
      <c r="D187" s="8"/>
      <c r="E187" s="8"/>
      <c r="F187" s="544"/>
      <c r="G187" s="8"/>
      <c r="H187" s="8"/>
      <c r="I187" s="543"/>
      <c r="J187" s="8"/>
      <c r="K187" s="8"/>
      <c r="L187" s="8"/>
      <c r="M187" s="8"/>
      <c r="N187" s="8"/>
      <c r="O187" s="8"/>
      <c r="P187" s="8"/>
      <c r="Q187" s="8"/>
      <c r="R187" s="8"/>
    </row>
    <row r="188" ht="15.75" customHeight="1">
      <c r="A188" s="543"/>
      <c r="B188" s="8"/>
      <c r="C188" s="8"/>
      <c r="D188" s="8"/>
      <c r="E188" s="8"/>
      <c r="F188" s="544"/>
      <c r="G188" s="8"/>
      <c r="H188" s="8"/>
      <c r="I188" s="543"/>
      <c r="J188" s="8"/>
      <c r="K188" s="8"/>
      <c r="L188" s="8"/>
      <c r="M188" s="8"/>
      <c r="N188" s="8"/>
      <c r="O188" s="8"/>
      <c r="P188" s="8"/>
      <c r="Q188" s="8"/>
      <c r="R188" s="8"/>
    </row>
    <row r="189" ht="15.75" customHeight="1">
      <c r="A189" s="543"/>
      <c r="B189" s="8"/>
      <c r="C189" s="8"/>
      <c r="D189" s="8"/>
      <c r="E189" s="8"/>
      <c r="F189" s="544"/>
      <c r="G189" s="8"/>
      <c r="H189" s="8"/>
      <c r="I189" s="543"/>
      <c r="J189" s="8"/>
      <c r="K189" s="8"/>
      <c r="L189" s="8"/>
      <c r="M189" s="8"/>
      <c r="N189" s="8"/>
      <c r="O189" s="8"/>
      <c r="P189" s="8"/>
      <c r="Q189" s="8"/>
      <c r="R189" s="8"/>
    </row>
    <row r="190" ht="15.75" customHeight="1">
      <c r="A190" s="543"/>
      <c r="B190" s="8"/>
      <c r="C190" s="8"/>
      <c r="D190" s="8"/>
      <c r="E190" s="8"/>
      <c r="F190" s="544"/>
      <c r="G190" s="8"/>
      <c r="H190" s="8"/>
      <c r="I190" s="543"/>
      <c r="J190" s="8"/>
      <c r="K190" s="8"/>
      <c r="L190" s="8"/>
      <c r="M190" s="8"/>
      <c r="N190" s="8"/>
      <c r="O190" s="8"/>
      <c r="P190" s="8"/>
      <c r="Q190" s="8"/>
      <c r="R190" s="8"/>
    </row>
    <row r="191" ht="15.75" customHeight="1">
      <c r="A191" s="543"/>
      <c r="B191" s="8"/>
      <c r="C191" s="8"/>
      <c r="D191" s="8"/>
      <c r="E191" s="8"/>
      <c r="F191" s="544"/>
      <c r="G191" s="8"/>
      <c r="H191" s="8"/>
      <c r="I191" s="543"/>
      <c r="J191" s="8"/>
      <c r="K191" s="8"/>
      <c r="L191" s="8"/>
      <c r="M191" s="8"/>
      <c r="N191" s="8"/>
      <c r="O191" s="8"/>
      <c r="P191" s="8"/>
      <c r="Q191" s="8"/>
      <c r="R191" s="8"/>
    </row>
    <row r="192" ht="15.75" customHeight="1">
      <c r="A192" s="543"/>
      <c r="B192" s="8"/>
      <c r="C192" s="8"/>
      <c r="D192" s="8"/>
      <c r="E192" s="8"/>
      <c r="F192" s="544"/>
      <c r="G192" s="8"/>
      <c r="H192" s="8"/>
      <c r="I192" s="543"/>
      <c r="J192" s="8"/>
      <c r="K192" s="8"/>
      <c r="L192" s="8"/>
      <c r="M192" s="8"/>
      <c r="N192" s="8"/>
      <c r="O192" s="8"/>
      <c r="P192" s="8"/>
      <c r="Q192" s="8"/>
      <c r="R192" s="8"/>
    </row>
    <row r="193" ht="15.75" customHeight="1">
      <c r="A193" s="543"/>
      <c r="B193" s="8"/>
      <c r="C193" s="8"/>
      <c r="D193" s="8"/>
      <c r="E193" s="8"/>
      <c r="F193" s="544"/>
      <c r="G193" s="8"/>
      <c r="H193" s="8"/>
      <c r="I193" s="543"/>
      <c r="J193" s="8"/>
      <c r="K193" s="8"/>
      <c r="L193" s="8"/>
      <c r="M193" s="8"/>
      <c r="N193" s="8"/>
      <c r="O193" s="8"/>
      <c r="P193" s="8"/>
      <c r="Q193" s="8"/>
      <c r="R193" s="8"/>
    </row>
    <row r="194" ht="15.75" customHeight="1">
      <c r="A194" s="543"/>
      <c r="B194" s="8"/>
      <c r="C194" s="8"/>
      <c r="D194" s="8"/>
      <c r="E194" s="8"/>
      <c r="F194" s="544"/>
      <c r="G194" s="8"/>
      <c r="H194" s="8"/>
      <c r="I194" s="543"/>
      <c r="J194" s="8"/>
      <c r="K194" s="8"/>
      <c r="L194" s="8"/>
      <c r="M194" s="8"/>
      <c r="N194" s="8"/>
      <c r="O194" s="8"/>
      <c r="P194" s="8"/>
      <c r="Q194" s="8"/>
      <c r="R194" s="8"/>
    </row>
    <row r="195" ht="15.75" customHeight="1">
      <c r="A195" s="543"/>
      <c r="B195" s="8"/>
      <c r="C195" s="8"/>
      <c r="D195" s="8"/>
      <c r="E195" s="8"/>
      <c r="F195" s="544"/>
      <c r="G195" s="8"/>
      <c r="H195" s="8"/>
      <c r="I195" s="543"/>
      <c r="J195" s="8"/>
      <c r="K195" s="8"/>
      <c r="L195" s="8"/>
      <c r="M195" s="8"/>
      <c r="N195" s="8"/>
      <c r="O195" s="8"/>
      <c r="P195" s="8"/>
      <c r="Q195" s="8"/>
      <c r="R195" s="8"/>
    </row>
    <row r="196" ht="15.75" customHeight="1">
      <c r="A196" s="543"/>
      <c r="B196" s="8"/>
      <c r="C196" s="8"/>
      <c r="D196" s="8"/>
      <c r="E196" s="8"/>
      <c r="F196" s="544"/>
      <c r="G196" s="8"/>
      <c r="H196" s="8"/>
      <c r="I196" s="543"/>
      <c r="J196" s="8"/>
      <c r="K196" s="8"/>
      <c r="L196" s="8"/>
      <c r="M196" s="8"/>
      <c r="N196" s="8"/>
      <c r="O196" s="8"/>
      <c r="P196" s="8"/>
      <c r="Q196" s="8"/>
      <c r="R196" s="8"/>
    </row>
    <row r="197" ht="15.75" customHeight="1">
      <c r="A197" s="543"/>
      <c r="B197" s="8"/>
      <c r="C197" s="8"/>
      <c r="D197" s="8"/>
      <c r="E197" s="8"/>
      <c r="F197" s="544"/>
      <c r="G197" s="8"/>
      <c r="H197" s="8"/>
      <c r="I197" s="543"/>
      <c r="J197" s="8"/>
      <c r="K197" s="8"/>
      <c r="L197" s="8"/>
      <c r="M197" s="8"/>
      <c r="N197" s="8"/>
      <c r="O197" s="8"/>
      <c r="P197" s="8"/>
      <c r="Q197" s="8"/>
      <c r="R197" s="8"/>
    </row>
    <row r="198" ht="15.75" customHeight="1">
      <c r="A198" s="543"/>
      <c r="B198" s="8"/>
      <c r="C198" s="8"/>
      <c r="D198" s="8"/>
      <c r="E198" s="8"/>
      <c r="F198" s="544"/>
      <c r="G198" s="8"/>
      <c r="H198" s="8"/>
      <c r="I198" s="543"/>
      <c r="J198" s="8"/>
      <c r="K198" s="8"/>
      <c r="L198" s="8"/>
      <c r="M198" s="8"/>
      <c r="N198" s="8"/>
      <c r="O198" s="8"/>
      <c r="P198" s="8"/>
      <c r="Q198" s="8"/>
      <c r="R198" s="8"/>
    </row>
    <row r="199" ht="15.75" customHeight="1">
      <c r="A199" s="543"/>
      <c r="B199" s="8"/>
      <c r="C199" s="8"/>
      <c r="D199" s="8"/>
      <c r="E199" s="8"/>
      <c r="F199" s="544"/>
      <c r="G199" s="8"/>
      <c r="H199" s="8"/>
      <c r="I199" s="543"/>
      <c r="J199" s="8"/>
      <c r="K199" s="8"/>
      <c r="L199" s="8"/>
      <c r="M199" s="8"/>
      <c r="N199" s="8"/>
      <c r="O199" s="8"/>
      <c r="P199" s="8"/>
      <c r="Q199" s="8"/>
      <c r="R199" s="8"/>
    </row>
    <row r="200" ht="15.75" customHeight="1">
      <c r="A200" s="543"/>
      <c r="B200" s="8"/>
      <c r="C200" s="8"/>
      <c r="D200" s="8"/>
      <c r="E200" s="8"/>
      <c r="F200" s="544"/>
      <c r="G200" s="8"/>
      <c r="H200" s="8"/>
      <c r="I200" s="543"/>
      <c r="J200" s="8"/>
      <c r="K200" s="8"/>
      <c r="L200" s="8"/>
      <c r="M200" s="8"/>
      <c r="N200" s="8"/>
      <c r="O200" s="8"/>
      <c r="P200" s="8"/>
      <c r="Q200" s="8"/>
      <c r="R200" s="8"/>
    </row>
    <row r="201" ht="15.75" customHeight="1">
      <c r="A201" s="543"/>
      <c r="B201" s="8"/>
      <c r="C201" s="8"/>
      <c r="D201" s="8"/>
      <c r="E201" s="8"/>
      <c r="F201" s="544"/>
      <c r="G201" s="8"/>
      <c r="H201" s="8"/>
      <c r="I201" s="543"/>
      <c r="J201" s="8"/>
      <c r="K201" s="8"/>
      <c r="L201" s="8"/>
      <c r="M201" s="8"/>
      <c r="N201" s="8"/>
      <c r="O201" s="8"/>
      <c r="P201" s="8"/>
      <c r="Q201" s="8"/>
      <c r="R201" s="8"/>
    </row>
    <row r="202" ht="15.75" customHeight="1">
      <c r="A202" s="543"/>
      <c r="B202" s="8"/>
      <c r="C202" s="8"/>
      <c r="D202" s="8"/>
      <c r="E202" s="8"/>
      <c r="F202" s="544"/>
      <c r="G202" s="8"/>
      <c r="H202" s="8"/>
      <c r="I202" s="543"/>
      <c r="J202" s="8"/>
      <c r="K202" s="8"/>
      <c r="L202" s="8"/>
      <c r="M202" s="8"/>
      <c r="N202" s="8"/>
      <c r="O202" s="8"/>
      <c r="P202" s="8"/>
      <c r="Q202" s="8"/>
      <c r="R202" s="8"/>
    </row>
    <row r="203" ht="15.75" customHeight="1">
      <c r="A203" s="543"/>
      <c r="B203" s="8"/>
      <c r="C203" s="8"/>
      <c r="D203" s="8"/>
      <c r="E203" s="8"/>
      <c r="F203" s="544"/>
      <c r="G203" s="8"/>
      <c r="H203" s="8"/>
      <c r="I203" s="543"/>
      <c r="J203" s="8"/>
      <c r="K203" s="8"/>
      <c r="L203" s="8"/>
      <c r="M203" s="8"/>
      <c r="N203" s="8"/>
      <c r="O203" s="8"/>
      <c r="P203" s="8"/>
      <c r="Q203" s="8"/>
      <c r="R203" s="8"/>
    </row>
    <row r="204" ht="15.75" customHeight="1">
      <c r="A204" s="543"/>
      <c r="B204" s="8"/>
      <c r="C204" s="8"/>
      <c r="D204" s="8"/>
      <c r="E204" s="8"/>
      <c r="F204" s="544"/>
      <c r="G204" s="8"/>
      <c r="H204" s="8"/>
      <c r="I204" s="543"/>
      <c r="J204" s="8"/>
      <c r="K204" s="8"/>
      <c r="L204" s="8"/>
      <c r="M204" s="8"/>
      <c r="N204" s="8"/>
      <c r="O204" s="8"/>
      <c r="P204" s="8"/>
      <c r="Q204" s="8"/>
      <c r="R204" s="8"/>
    </row>
    <row r="205" ht="15.75" customHeight="1">
      <c r="A205" s="543"/>
      <c r="B205" s="8"/>
      <c r="C205" s="8"/>
      <c r="D205" s="8"/>
      <c r="E205" s="8"/>
      <c r="F205" s="544"/>
      <c r="G205" s="8"/>
      <c r="H205" s="8"/>
      <c r="I205" s="543"/>
      <c r="J205" s="8"/>
      <c r="K205" s="8"/>
      <c r="L205" s="8"/>
      <c r="M205" s="8"/>
      <c r="N205" s="8"/>
      <c r="O205" s="8"/>
      <c r="P205" s="8"/>
      <c r="Q205" s="8"/>
      <c r="R205" s="8"/>
    </row>
    <row r="206" ht="15.75" customHeight="1">
      <c r="A206" s="543"/>
      <c r="B206" s="8"/>
      <c r="C206" s="8"/>
      <c r="D206" s="8"/>
      <c r="E206" s="8"/>
      <c r="F206" s="544"/>
      <c r="G206" s="8"/>
      <c r="H206" s="8"/>
      <c r="I206" s="543"/>
      <c r="J206" s="8"/>
      <c r="K206" s="8"/>
      <c r="L206" s="8"/>
      <c r="M206" s="8"/>
      <c r="N206" s="8"/>
      <c r="O206" s="8"/>
      <c r="P206" s="8"/>
      <c r="Q206" s="8"/>
      <c r="R206" s="8"/>
    </row>
    <row r="207" ht="15.75" customHeight="1">
      <c r="A207" s="543"/>
      <c r="B207" s="8"/>
      <c r="C207" s="8"/>
      <c r="D207" s="8"/>
      <c r="E207" s="8"/>
      <c r="F207" s="544"/>
      <c r="G207" s="8"/>
      <c r="H207" s="8"/>
      <c r="I207" s="543"/>
      <c r="J207" s="8"/>
      <c r="K207" s="8"/>
      <c r="L207" s="8"/>
      <c r="M207" s="8"/>
      <c r="N207" s="8"/>
      <c r="O207" s="8"/>
      <c r="P207" s="8"/>
      <c r="Q207" s="8"/>
      <c r="R207" s="8"/>
    </row>
    <row r="208" ht="15.75" customHeight="1">
      <c r="A208" s="543"/>
      <c r="B208" s="8"/>
      <c r="C208" s="8"/>
      <c r="D208" s="8"/>
      <c r="E208" s="8"/>
      <c r="F208" s="544"/>
      <c r="G208" s="8"/>
      <c r="H208" s="8"/>
      <c r="I208" s="543"/>
      <c r="J208" s="8"/>
      <c r="K208" s="8"/>
      <c r="L208" s="8"/>
      <c r="M208" s="8"/>
      <c r="N208" s="8"/>
      <c r="O208" s="8"/>
      <c r="P208" s="8"/>
      <c r="Q208" s="8"/>
      <c r="R208" s="8"/>
    </row>
    <row r="209" ht="15.75" customHeight="1">
      <c r="A209" s="543"/>
      <c r="B209" s="8"/>
      <c r="C209" s="8"/>
      <c r="D209" s="8"/>
      <c r="E209" s="8"/>
      <c r="F209" s="544"/>
      <c r="G209" s="8"/>
      <c r="H209" s="8"/>
      <c r="I209" s="543"/>
      <c r="J209" s="8"/>
      <c r="K209" s="8"/>
      <c r="L209" s="8"/>
      <c r="M209" s="8"/>
      <c r="N209" s="8"/>
      <c r="O209" s="8"/>
      <c r="P209" s="8"/>
      <c r="Q209" s="8"/>
      <c r="R209" s="8"/>
    </row>
    <row r="210" ht="15.75" customHeight="1">
      <c r="A210" s="543"/>
      <c r="B210" s="8"/>
      <c r="C210" s="8"/>
      <c r="D210" s="8"/>
      <c r="E210" s="8"/>
      <c r="F210" s="544"/>
      <c r="G210" s="8"/>
      <c r="H210" s="8"/>
      <c r="I210" s="543"/>
      <c r="J210" s="8"/>
      <c r="K210" s="8"/>
      <c r="L210" s="8"/>
      <c r="M210" s="8"/>
      <c r="N210" s="8"/>
      <c r="O210" s="8"/>
      <c r="P210" s="8"/>
      <c r="Q210" s="8"/>
      <c r="R210" s="8"/>
    </row>
    <row r="211" ht="15.75" customHeight="1">
      <c r="A211" s="543"/>
      <c r="B211" s="8"/>
      <c r="C211" s="8"/>
      <c r="D211" s="8"/>
      <c r="E211" s="8"/>
      <c r="F211" s="544"/>
      <c r="G211" s="8"/>
      <c r="H211" s="8"/>
      <c r="I211" s="543"/>
      <c r="J211" s="8"/>
      <c r="K211" s="8"/>
      <c r="L211" s="8"/>
      <c r="M211" s="8"/>
      <c r="N211" s="8"/>
      <c r="O211" s="8"/>
      <c r="P211" s="8"/>
      <c r="Q211" s="8"/>
      <c r="R211" s="8"/>
    </row>
    <row r="212" ht="15.75" customHeight="1">
      <c r="A212" s="543"/>
      <c r="B212" s="8"/>
      <c r="C212" s="8"/>
      <c r="D212" s="8"/>
      <c r="E212" s="8"/>
      <c r="F212" s="544"/>
      <c r="G212" s="8"/>
      <c r="H212" s="8"/>
      <c r="I212" s="543"/>
      <c r="J212" s="8"/>
      <c r="K212" s="8"/>
      <c r="L212" s="8"/>
      <c r="M212" s="8"/>
      <c r="N212" s="8"/>
      <c r="O212" s="8"/>
      <c r="P212" s="8"/>
      <c r="Q212" s="8"/>
      <c r="R212" s="8"/>
    </row>
    <row r="213" ht="15.75" customHeight="1">
      <c r="A213" s="543"/>
      <c r="B213" s="8"/>
      <c r="C213" s="8"/>
      <c r="D213" s="8"/>
      <c r="E213" s="8"/>
      <c r="F213" s="544"/>
      <c r="G213" s="8"/>
      <c r="H213" s="8"/>
      <c r="I213" s="543"/>
      <c r="J213" s="8"/>
      <c r="K213" s="8"/>
      <c r="L213" s="8"/>
      <c r="M213" s="8"/>
      <c r="N213" s="8"/>
      <c r="O213" s="8"/>
      <c r="P213" s="8"/>
      <c r="Q213" s="8"/>
      <c r="R213" s="8"/>
    </row>
    <row r="214" ht="15.75" customHeight="1">
      <c r="A214" s="543"/>
      <c r="B214" s="8"/>
      <c r="C214" s="8"/>
      <c r="D214" s="8"/>
      <c r="E214" s="8"/>
      <c r="F214" s="544"/>
      <c r="G214" s="8"/>
      <c r="H214" s="8"/>
      <c r="I214" s="543"/>
      <c r="J214" s="8"/>
      <c r="K214" s="8"/>
      <c r="L214" s="8"/>
      <c r="M214" s="8"/>
      <c r="N214" s="8"/>
      <c r="O214" s="8"/>
      <c r="P214" s="8"/>
      <c r="Q214" s="8"/>
      <c r="R214" s="8"/>
    </row>
    <row r="215" ht="15.75" customHeight="1">
      <c r="A215" s="543"/>
      <c r="B215" s="8"/>
      <c r="C215" s="8"/>
      <c r="D215" s="8"/>
      <c r="E215" s="8"/>
      <c r="F215" s="544"/>
      <c r="G215" s="8"/>
      <c r="H215" s="8"/>
      <c r="I215" s="543"/>
      <c r="J215" s="8"/>
      <c r="K215" s="8"/>
      <c r="L215" s="8"/>
      <c r="M215" s="8"/>
      <c r="N215" s="8"/>
      <c r="O215" s="8"/>
      <c r="P215" s="8"/>
      <c r="Q215" s="8"/>
      <c r="R215" s="8"/>
    </row>
    <row r="216" ht="15.75" customHeight="1">
      <c r="A216" s="543"/>
      <c r="B216" s="8"/>
      <c r="C216" s="8"/>
      <c r="D216" s="8"/>
      <c r="E216" s="8"/>
      <c r="F216" s="544"/>
      <c r="G216" s="8"/>
      <c r="H216" s="8"/>
      <c r="I216" s="543"/>
      <c r="J216" s="8"/>
      <c r="K216" s="8"/>
      <c r="L216" s="8"/>
      <c r="M216" s="8"/>
      <c r="N216" s="8"/>
      <c r="O216" s="8"/>
      <c r="P216" s="8"/>
      <c r="Q216" s="8"/>
      <c r="R216" s="8"/>
    </row>
    <row r="217" ht="15.75" customHeight="1">
      <c r="A217" s="543"/>
      <c r="B217" s="8"/>
      <c r="C217" s="8"/>
      <c r="D217" s="8"/>
      <c r="E217" s="8"/>
      <c r="F217" s="544"/>
      <c r="G217" s="8"/>
      <c r="H217" s="8"/>
      <c r="I217" s="543"/>
      <c r="J217" s="8"/>
      <c r="K217" s="8"/>
      <c r="L217" s="8"/>
      <c r="M217" s="8"/>
      <c r="N217" s="8"/>
      <c r="O217" s="8"/>
      <c r="P217" s="8"/>
      <c r="Q217" s="8"/>
      <c r="R217" s="8"/>
    </row>
    <row r="218" ht="15.75" customHeight="1">
      <c r="A218" s="543"/>
      <c r="B218" s="8"/>
      <c r="C218" s="8"/>
      <c r="D218" s="8"/>
      <c r="E218" s="8"/>
      <c r="F218" s="544"/>
      <c r="G218" s="8"/>
      <c r="H218" s="8"/>
      <c r="I218" s="543"/>
      <c r="J218" s="8"/>
      <c r="K218" s="8"/>
      <c r="L218" s="8"/>
      <c r="M218" s="8"/>
      <c r="N218" s="8"/>
      <c r="O218" s="8"/>
      <c r="P218" s="8"/>
      <c r="Q218" s="8"/>
      <c r="R218" s="8"/>
    </row>
    <row r="219" ht="15.75" customHeight="1">
      <c r="A219" s="543"/>
      <c r="B219" s="8"/>
      <c r="C219" s="8"/>
      <c r="D219" s="8"/>
      <c r="E219" s="8"/>
      <c r="F219" s="544"/>
      <c r="G219" s="8"/>
      <c r="H219" s="8"/>
      <c r="I219" s="543"/>
      <c r="J219" s="8"/>
      <c r="K219" s="8"/>
      <c r="L219" s="8"/>
      <c r="M219" s="8"/>
      <c r="N219" s="8"/>
      <c r="O219" s="8"/>
      <c r="P219" s="8"/>
      <c r="Q219" s="8"/>
      <c r="R219" s="8"/>
    </row>
    <row r="220" ht="15.75" customHeight="1">
      <c r="A220" s="543"/>
      <c r="B220" s="8"/>
      <c r="C220" s="8"/>
      <c r="D220" s="8"/>
      <c r="E220" s="8"/>
      <c r="F220" s="544"/>
      <c r="G220" s="8"/>
      <c r="H220" s="8"/>
      <c r="I220" s="543"/>
      <c r="J220" s="8"/>
      <c r="K220" s="8"/>
      <c r="L220" s="8"/>
      <c r="M220" s="8"/>
      <c r="N220" s="8"/>
      <c r="O220" s="8"/>
      <c r="P220" s="8"/>
      <c r="Q220" s="8"/>
      <c r="R220" s="8"/>
    </row>
    <row r="221" ht="15.75" customHeight="1">
      <c r="A221" s="543"/>
      <c r="B221" s="8"/>
      <c r="C221" s="8"/>
      <c r="D221" s="8"/>
      <c r="E221" s="8"/>
      <c r="F221" s="544"/>
      <c r="G221" s="8"/>
      <c r="H221" s="8"/>
      <c r="I221" s="543"/>
      <c r="J221" s="8"/>
      <c r="K221" s="8"/>
      <c r="L221" s="8"/>
      <c r="M221" s="8"/>
      <c r="N221" s="8"/>
      <c r="O221" s="8"/>
      <c r="P221" s="8"/>
      <c r="Q221" s="8"/>
      <c r="R221" s="8"/>
    </row>
    <row r="222" ht="15.75" customHeight="1">
      <c r="A222" s="543"/>
      <c r="B222" s="8"/>
      <c r="C222" s="8"/>
      <c r="D222" s="8"/>
      <c r="E222" s="8"/>
      <c r="F222" s="544"/>
      <c r="G222" s="8"/>
      <c r="H222" s="8"/>
      <c r="I222" s="543"/>
      <c r="J222" s="8"/>
      <c r="K222" s="8"/>
      <c r="L222" s="8"/>
      <c r="M222" s="8"/>
      <c r="N222" s="8"/>
      <c r="O222" s="8"/>
      <c r="P222" s="8"/>
      <c r="Q222" s="8"/>
      <c r="R222" s="8"/>
    </row>
    <row r="223" ht="15.75" customHeight="1">
      <c r="A223" s="543"/>
      <c r="B223" s="8"/>
      <c r="C223" s="8"/>
      <c r="D223" s="8"/>
      <c r="E223" s="8"/>
      <c r="F223" s="544"/>
      <c r="G223" s="8"/>
      <c r="H223" s="8"/>
      <c r="I223" s="543"/>
      <c r="J223" s="8"/>
      <c r="K223" s="8"/>
      <c r="L223" s="8"/>
      <c r="M223" s="8"/>
      <c r="N223" s="8"/>
      <c r="O223" s="8"/>
      <c r="P223" s="8"/>
      <c r="Q223" s="8"/>
      <c r="R223" s="8"/>
    </row>
    <row r="224" ht="15.75" customHeight="1">
      <c r="A224" s="543"/>
      <c r="B224" s="8"/>
      <c r="C224" s="8"/>
      <c r="D224" s="8"/>
      <c r="E224" s="8"/>
      <c r="F224" s="544"/>
      <c r="G224" s="8"/>
      <c r="H224" s="8"/>
      <c r="I224" s="543"/>
      <c r="J224" s="8"/>
      <c r="K224" s="8"/>
      <c r="L224" s="8"/>
      <c r="M224" s="8"/>
      <c r="N224" s="8"/>
      <c r="O224" s="8"/>
      <c r="P224" s="8"/>
      <c r="Q224" s="8"/>
      <c r="R224" s="8"/>
    </row>
    <row r="225" ht="15.75" customHeight="1">
      <c r="A225" s="543"/>
      <c r="B225" s="8"/>
      <c r="C225" s="8"/>
      <c r="D225" s="8"/>
      <c r="E225" s="8"/>
      <c r="F225" s="544"/>
      <c r="G225" s="8"/>
      <c r="H225" s="8"/>
      <c r="I225" s="543"/>
      <c r="J225" s="8"/>
      <c r="K225" s="8"/>
      <c r="L225" s="8"/>
      <c r="M225" s="8"/>
      <c r="N225" s="8"/>
      <c r="O225" s="8"/>
      <c r="P225" s="8"/>
      <c r="Q225" s="8"/>
      <c r="R225" s="8"/>
    </row>
    <row r="226" ht="15.75" customHeight="1">
      <c r="A226" s="543"/>
      <c r="B226" s="8"/>
      <c r="C226" s="8"/>
      <c r="D226" s="8"/>
      <c r="E226" s="8"/>
      <c r="F226" s="544"/>
      <c r="G226" s="8"/>
      <c r="H226" s="8"/>
      <c r="I226" s="543"/>
      <c r="J226" s="8"/>
      <c r="K226" s="8"/>
      <c r="L226" s="8"/>
      <c r="M226" s="8"/>
      <c r="N226" s="8"/>
      <c r="O226" s="8"/>
      <c r="P226" s="8"/>
      <c r="Q226" s="8"/>
      <c r="R226" s="8"/>
    </row>
    <row r="227" ht="15.75" customHeight="1">
      <c r="A227" s="543"/>
      <c r="B227" s="8"/>
      <c r="C227" s="8"/>
      <c r="D227" s="8"/>
      <c r="E227" s="8"/>
      <c r="F227" s="544"/>
      <c r="G227" s="8"/>
      <c r="H227" s="8"/>
      <c r="I227" s="543"/>
      <c r="J227" s="8"/>
      <c r="K227" s="8"/>
      <c r="L227" s="8"/>
      <c r="M227" s="8"/>
      <c r="N227" s="8"/>
      <c r="O227" s="8"/>
      <c r="P227" s="8"/>
      <c r="Q227" s="8"/>
      <c r="R227" s="8"/>
    </row>
    <row r="228" ht="15.75" customHeight="1">
      <c r="A228" s="543"/>
      <c r="B228" s="8"/>
      <c r="C228" s="8"/>
      <c r="D228" s="8"/>
      <c r="E228" s="8"/>
      <c r="F228" s="544"/>
      <c r="G228" s="8"/>
      <c r="H228" s="8"/>
      <c r="I228" s="543"/>
      <c r="J228" s="8"/>
      <c r="K228" s="8"/>
      <c r="L228" s="8"/>
      <c r="M228" s="8"/>
      <c r="N228" s="8"/>
      <c r="O228" s="8"/>
      <c r="P228" s="8"/>
      <c r="Q228" s="8"/>
      <c r="R228" s="8"/>
    </row>
    <row r="229" ht="15.75" customHeight="1">
      <c r="A229" s="543"/>
      <c r="B229" s="8"/>
      <c r="C229" s="8"/>
      <c r="D229" s="8"/>
      <c r="E229" s="8"/>
      <c r="F229" s="544"/>
      <c r="G229" s="8"/>
      <c r="H229" s="8"/>
      <c r="I229" s="543"/>
      <c r="J229" s="8"/>
      <c r="K229" s="8"/>
      <c r="L229" s="8"/>
      <c r="M229" s="8"/>
      <c r="N229" s="8"/>
      <c r="O229" s="8"/>
      <c r="P229" s="8"/>
      <c r="Q229" s="8"/>
      <c r="R229" s="8"/>
    </row>
    <row r="230" ht="15.75" customHeight="1">
      <c r="A230" s="543"/>
      <c r="B230" s="8"/>
      <c r="C230" s="8"/>
      <c r="D230" s="8"/>
      <c r="E230" s="8"/>
      <c r="F230" s="544"/>
      <c r="G230" s="8"/>
      <c r="H230" s="8"/>
      <c r="I230" s="543"/>
      <c r="J230" s="8"/>
      <c r="K230" s="8"/>
      <c r="L230" s="8"/>
      <c r="M230" s="8"/>
      <c r="N230" s="8"/>
      <c r="O230" s="8"/>
      <c r="P230" s="8"/>
      <c r="Q230" s="8"/>
      <c r="R230" s="8"/>
    </row>
    <row r="231" ht="15.75" customHeight="1">
      <c r="A231" s="543"/>
      <c r="B231" s="8"/>
      <c r="C231" s="8"/>
      <c r="D231" s="8"/>
      <c r="E231" s="8"/>
      <c r="F231" s="544"/>
      <c r="G231" s="8"/>
      <c r="H231" s="8"/>
      <c r="I231" s="543"/>
      <c r="J231" s="8"/>
      <c r="K231" s="8"/>
      <c r="L231" s="8"/>
      <c r="M231" s="8"/>
      <c r="N231" s="8"/>
      <c r="O231" s="8"/>
      <c r="P231" s="8"/>
      <c r="Q231" s="8"/>
      <c r="R231" s="8"/>
    </row>
    <row r="232" ht="15.75" customHeight="1">
      <c r="A232" s="543"/>
      <c r="B232" s="8"/>
      <c r="C232" s="8"/>
      <c r="D232" s="8"/>
      <c r="E232" s="8"/>
      <c r="F232" s="544"/>
      <c r="G232" s="8"/>
      <c r="H232" s="8"/>
      <c r="I232" s="543"/>
      <c r="J232" s="8"/>
      <c r="K232" s="8"/>
      <c r="L232" s="8"/>
      <c r="M232" s="8"/>
      <c r="N232" s="8"/>
      <c r="O232" s="8"/>
      <c r="P232" s="8"/>
      <c r="Q232" s="8"/>
      <c r="R232" s="8"/>
    </row>
    <row r="233" ht="15.75" customHeight="1">
      <c r="A233" s="543"/>
      <c r="B233" s="8"/>
      <c r="C233" s="8"/>
      <c r="D233" s="8"/>
      <c r="E233" s="8"/>
      <c r="F233" s="544"/>
      <c r="G233" s="8"/>
      <c r="H233" s="8"/>
      <c r="I233" s="543"/>
      <c r="J233" s="8"/>
      <c r="K233" s="8"/>
      <c r="L233" s="8"/>
      <c r="M233" s="8"/>
      <c r="N233" s="8"/>
      <c r="O233" s="8"/>
      <c r="P233" s="8"/>
      <c r="Q233" s="8"/>
      <c r="R233" s="8"/>
    </row>
    <row r="234" ht="15.75" customHeight="1">
      <c r="A234" s="543"/>
      <c r="B234" s="8"/>
      <c r="C234" s="8"/>
      <c r="D234" s="8"/>
      <c r="E234" s="8"/>
      <c r="F234" s="544"/>
      <c r="G234" s="8"/>
      <c r="H234" s="8"/>
      <c r="I234" s="543"/>
      <c r="J234" s="8"/>
      <c r="K234" s="8"/>
      <c r="L234" s="8"/>
      <c r="M234" s="8"/>
      <c r="N234" s="8"/>
      <c r="O234" s="8"/>
      <c r="P234" s="8"/>
      <c r="Q234" s="8"/>
      <c r="R234" s="8"/>
    </row>
    <row r="235" ht="15.75" customHeight="1">
      <c r="A235" s="543"/>
      <c r="B235" s="8"/>
      <c r="C235" s="8"/>
      <c r="D235" s="8"/>
      <c r="E235" s="8"/>
      <c r="F235" s="544"/>
      <c r="G235" s="8"/>
      <c r="H235" s="8"/>
      <c r="I235" s="543"/>
      <c r="J235" s="8"/>
      <c r="K235" s="8"/>
      <c r="L235" s="8"/>
      <c r="M235" s="8"/>
      <c r="N235" s="8"/>
      <c r="O235" s="8"/>
      <c r="P235" s="8"/>
      <c r="Q235" s="8"/>
      <c r="R235" s="8"/>
    </row>
    <row r="236" ht="15.75" customHeight="1">
      <c r="A236" s="543"/>
      <c r="B236" s="8"/>
      <c r="C236" s="8"/>
      <c r="D236" s="8"/>
      <c r="E236" s="8"/>
      <c r="F236" s="544"/>
      <c r="G236" s="8"/>
      <c r="H236" s="8"/>
      <c r="I236" s="543"/>
      <c r="J236" s="8"/>
      <c r="K236" s="8"/>
      <c r="L236" s="8"/>
      <c r="M236" s="8"/>
      <c r="N236" s="8"/>
      <c r="O236" s="8"/>
      <c r="P236" s="8"/>
      <c r="Q236" s="8"/>
      <c r="R236" s="8"/>
    </row>
    <row r="237" ht="15.75" customHeight="1">
      <c r="A237" s="543"/>
      <c r="B237" s="8"/>
      <c r="C237" s="8"/>
      <c r="D237" s="8"/>
      <c r="E237" s="8"/>
      <c r="F237" s="544"/>
      <c r="G237" s="8"/>
      <c r="H237" s="8"/>
      <c r="I237" s="543"/>
      <c r="J237" s="8"/>
      <c r="K237" s="8"/>
      <c r="L237" s="8"/>
      <c r="M237" s="8"/>
      <c r="N237" s="8"/>
      <c r="O237" s="8"/>
      <c r="P237" s="8"/>
      <c r="Q237" s="8"/>
      <c r="R237" s="8"/>
    </row>
    <row r="238" ht="15.75" customHeight="1">
      <c r="A238" s="543"/>
      <c r="B238" s="8"/>
      <c r="C238" s="8"/>
      <c r="D238" s="8"/>
      <c r="E238" s="8"/>
      <c r="F238" s="544"/>
      <c r="G238" s="8"/>
      <c r="H238" s="8"/>
      <c r="I238" s="543"/>
      <c r="J238" s="8"/>
      <c r="K238" s="8"/>
      <c r="L238" s="8"/>
      <c r="M238" s="8"/>
      <c r="N238" s="8"/>
      <c r="O238" s="8"/>
      <c r="P238" s="8"/>
      <c r="Q238" s="8"/>
      <c r="R238" s="8"/>
    </row>
    <row r="239" ht="15.75" customHeight="1">
      <c r="A239" s="543"/>
      <c r="B239" s="8"/>
      <c r="C239" s="8"/>
      <c r="D239" s="8"/>
      <c r="E239" s="8"/>
      <c r="F239" s="544"/>
      <c r="G239" s="8"/>
      <c r="H239" s="8"/>
      <c r="I239" s="543"/>
      <c r="J239" s="8"/>
      <c r="K239" s="8"/>
      <c r="L239" s="8"/>
      <c r="M239" s="8"/>
      <c r="N239" s="8"/>
      <c r="O239" s="8"/>
      <c r="P239" s="8"/>
      <c r="Q239" s="8"/>
      <c r="R239" s="8"/>
    </row>
    <row r="240" ht="15.75" customHeight="1">
      <c r="A240" s="543"/>
      <c r="B240" s="8"/>
      <c r="C240" s="8"/>
      <c r="D240" s="8"/>
      <c r="E240" s="8"/>
      <c r="F240" s="544"/>
      <c r="G240" s="8"/>
      <c r="H240" s="8"/>
      <c r="I240" s="543"/>
      <c r="J240" s="8"/>
      <c r="K240" s="8"/>
      <c r="L240" s="8"/>
      <c r="M240" s="8"/>
      <c r="N240" s="8"/>
      <c r="O240" s="8"/>
      <c r="P240" s="8"/>
      <c r="Q240" s="8"/>
      <c r="R240" s="8"/>
    </row>
    <row r="241" ht="15.75" customHeight="1">
      <c r="A241" s="543"/>
      <c r="B241" s="8"/>
      <c r="C241" s="8"/>
      <c r="D241" s="8"/>
      <c r="E241" s="8"/>
      <c r="F241" s="544"/>
      <c r="G241" s="8"/>
      <c r="H241" s="8"/>
      <c r="I241" s="543"/>
      <c r="J241" s="8"/>
      <c r="K241" s="8"/>
      <c r="L241" s="8"/>
      <c r="M241" s="8"/>
      <c r="N241" s="8"/>
      <c r="O241" s="8"/>
      <c r="P241" s="8"/>
      <c r="Q241" s="8"/>
      <c r="R241" s="8"/>
    </row>
    <row r="242" ht="15.75" customHeight="1">
      <c r="A242" s="543"/>
      <c r="B242" s="8"/>
      <c r="C242" s="8"/>
      <c r="D242" s="8"/>
      <c r="E242" s="8"/>
      <c r="F242" s="544"/>
      <c r="G242" s="8"/>
      <c r="H242" s="8"/>
      <c r="I242" s="543"/>
      <c r="J242" s="8"/>
      <c r="K242" s="8"/>
      <c r="L242" s="8"/>
      <c r="M242" s="8"/>
      <c r="N242" s="8"/>
      <c r="O242" s="8"/>
      <c r="P242" s="8"/>
      <c r="Q242" s="8"/>
      <c r="R242" s="8"/>
    </row>
    <row r="243" ht="15.75" customHeight="1">
      <c r="A243" s="543"/>
      <c r="B243" s="8"/>
      <c r="C243" s="8"/>
      <c r="D243" s="8"/>
      <c r="E243" s="8"/>
      <c r="F243" s="544"/>
      <c r="G243" s="8"/>
      <c r="H243" s="8"/>
      <c r="I243" s="543"/>
      <c r="J243" s="8"/>
      <c r="K243" s="8"/>
      <c r="L243" s="8"/>
      <c r="M243" s="8"/>
      <c r="N243" s="8"/>
      <c r="O243" s="8"/>
      <c r="P243" s="8"/>
      <c r="Q243" s="8"/>
      <c r="R243" s="8"/>
    </row>
    <row r="244" ht="15.75" customHeight="1">
      <c r="A244" s="543"/>
      <c r="B244" s="8"/>
      <c r="C244" s="8"/>
      <c r="D244" s="8"/>
      <c r="E244" s="8"/>
      <c r="F244" s="544"/>
      <c r="G244" s="8"/>
      <c r="H244" s="8"/>
      <c r="I244" s="543"/>
      <c r="J244" s="8"/>
      <c r="K244" s="8"/>
      <c r="L244" s="8"/>
      <c r="M244" s="8"/>
      <c r="N244" s="8"/>
      <c r="O244" s="8"/>
      <c r="P244" s="8"/>
      <c r="Q244" s="8"/>
      <c r="R244" s="8"/>
    </row>
    <row r="245" ht="15.75" customHeight="1">
      <c r="A245" s="543"/>
      <c r="B245" s="8"/>
      <c r="C245" s="8"/>
      <c r="D245" s="8"/>
      <c r="E245" s="8"/>
      <c r="F245" s="544"/>
      <c r="G245" s="8"/>
      <c r="H245" s="8"/>
      <c r="I245" s="543"/>
      <c r="J245" s="8"/>
      <c r="K245" s="8"/>
      <c r="L245" s="8"/>
      <c r="M245" s="8"/>
      <c r="N245" s="8"/>
      <c r="O245" s="8"/>
      <c r="P245" s="8"/>
      <c r="Q245" s="8"/>
      <c r="R245" s="8"/>
    </row>
    <row r="246" ht="15.75" customHeight="1">
      <c r="A246" s="543"/>
      <c r="B246" s="8"/>
      <c r="C246" s="8"/>
      <c r="D246" s="8"/>
      <c r="E246" s="8"/>
      <c r="F246" s="544"/>
      <c r="G246" s="8"/>
      <c r="H246" s="8"/>
      <c r="I246" s="543"/>
      <c r="J246" s="8"/>
      <c r="K246" s="8"/>
      <c r="L246" s="8"/>
      <c r="M246" s="8"/>
      <c r="N246" s="8"/>
      <c r="O246" s="8"/>
      <c r="P246" s="8"/>
      <c r="Q246" s="8"/>
      <c r="R246" s="8"/>
    </row>
    <row r="247" ht="15.75" customHeight="1">
      <c r="A247" s="543"/>
      <c r="B247" s="8"/>
      <c r="C247" s="8"/>
      <c r="D247" s="8"/>
      <c r="E247" s="8"/>
      <c r="F247" s="544"/>
      <c r="G247" s="8"/>
      <c r="H247" s="8"/>
      <c r="I247" s="543"/>
      <c r="J247" s="8"/>
      <c r="K247" s="8"/>
      <c r="L247" s="8"/>
      <c r="M247" s="8"/>
      <c r="N247" s="8"/>
      <c r="O247" s="8"/>
      <c r="P247" s="8"/>
      <c r="Q247" s="8"/>
      <c r="R247" s="8"/>
    </row>
    <row r="248" ht="15.75" customHeight="1">
      <c r="A248" s="543"/>
      <c r="B248" s="8"/>
      <c r="C248" s="8"/>
      <c r="D248" s="8"/>
      <c r="E248" s="8"/>
      <c r="F248" s="544"/>
      <c r="G248" s="8"/>
      <c r="H248" s="8"/>
      <c r="I248" s="543"/>
      <c r="J248" s="8"/>
      <c r="K248" s="8"/>
      <c r="L248" s="8"/>
      <c r="M248" s="8"/>
      <c r="N248" s="8"/>
      <c r="O248" s="8"/>
      <c r="P248" s="8"/>
      <c r="Q248" s="8"/>
      <c r="R248" s="8"/>
    </row>
    <row r="249" ht="15.75" customHeight="1">
      <c r="A249" s="543"/>
      <c r="B249" s="8"/>
      <c r="C249" s="8"/>
      <c r="D249" s="8"/>
      <c r="E249" s="8"/>
      <c r="F249" s="544"/>
      <c r="G249" s="8"/>
      <c r="H249" s="8"/>
      <c r="I249" s="543"/>
      <c r="J249" s="8"/>
      <c r="K249" s="8"/>
      <c r="L249" s="8"/>
      <c r="M249" s="8"/>
      <c r="N249" s="8"/>
      <c r="O249" s="8"/>
      <c r="P249" s="8"/>
      <c r="Q249" s="8"/>
      <c r="R249" s="8"/>
    </row>
    <row r="250" ht="15.75" customHeight="1">
      <c r="A250" s="543"/>
      <c r="B250" s="8"/>
      <c r="C250" s="8"/>
      <c r="D250" s="8"/>
      <c r="E250" s="8"/>
      <c r="F250" s="544"/>
      <c r="G250" s="8"/>
      <c r="H250" s="8"/>
      <c r="I250" s="543"/>
      <c r="J250" s="8"/>
      <c r="K250" s="8"/>
      <c r="L250" s="8"/>
      <c r="M250" s="8"/>
      <c r="N250" s="8"/>
      <c r="O250" s="8"/>
      <c r="P250" s="8"/>
      <c r="Q250" s="8"/>
      <c r="R250" s="8"/>
    </row>
    <row r="251" ht="15.75" customHeight="1">
      <c r="A251" s="543"/>
      <c r="B251" s="8"/>
      <c r="C251" s="8"/>
      <c r="D251" s="8"/>
      <c r="E251" s="8"/>
      <c r="F251" s="544"/>
      <c r="G251" s="8"/>
      <c r="H251" s="8"/>
      <c r="I251" s="543"/>
      <c r="J251" s="8"/>
      <c r="K251" s="8"/>
      <c r="L251" s="8"/>
      <c r="M251" s="8"/>
      <c r="N251" s="8"/>
      <c r="O251" s="8"/>
      <c r="P251" s="8"/>
      <c r="Q251" s="8"/>
      <c r="R251" s="8"/>
    </row>
    <row r="252" ht="15.75" customHeight="1">
      <c r="A252" s="543"/>
      <c r="B252" s="8"/>
      <c r="C252" s="8"/>
      <c r="D252" s="8"/>
      <c r="E252" s="8"/>
      <c r="F252" s="544"/>
      <c r="G252" s="8"/>
      <c r="H252" s="8"/>
      <c r="I252" s="543"/>
      <c r="J252" s="8"/>
      <c r="K252" s="8"/>
      <c r="L252" s="8"/>
      <c r="M252" s="8"/>
      <c r="N252" s="8"/>
      <c r="O252" s="8"/>
      <c r="P252" s="8"/>
      <c r="Q252" s="8"/>
      <c r="R252" s="8"/>
    </row>
    <row r="253" ht="15.75" customHeight="1">
      <c r="A253" s="543"/>
      <c r="B253" s="8"/>
      <c r="C253" s="8"/>
      <c r="D253" s="8"/>
      <c r="E253" s="8"/>
      <c r="F253" s="544"/>
      <c r="G253" s="8"/>
      <c r="H253" s="8"/>
      <c r="I253" s="543"/>
      <c r="J253" s="8"/>
      <c r="K253" s="8"/>
      <c r="L253" s="8"/>
      <c r="M253" s="8"/>
      <c r="N253" s="8"/>
      <c r="O253" s="8"/>
      <c r="P253" s="8"/>
      <c r="Q253" s="8"/>
      <c r="R253" s="8"/>
    </row>
    <row r="254" ht="15.75" customHeight="1">
      <c r="A254" s="543"/>
      <c r="B254" s="8"/>
      <c r="C254" s="8"/>
      <c r="D254" s="8"/>
      <c r="E254" s="8"/>
      <c r="F254" s="544"/>
      <c r="G254" s="8"/>
      <c r="H254" s="8"/>
      <c r="I254" s="543"/>
      <c r="J254" s="8"/>
      <c r="K254" s="8"/>
      <c r="L254" s="8"/>
      <c r="M254" s="8"/>
      <c r="N254" s="8"/>
      <c r="O254" s="8"/>
      <c r="P254" s="8"/>
      <c r="Q254" s="8"/>
      <c r="R254" s="8"/>
    </row>
    <row r="255" ht="15.75" customHeight="1">
      <c r="A255" s="543"/>
      <c r="B255" s="8"/>
      <c r="C255" s="8"/>
      <c r="D255" s="8"/>
      <c r="E255" s="8"/>
      <c r="F255" s="544"/>
      <c r="G255" s="8"/>
      <c r="H255" s="8"/>
      <c r="I255" s="543"/>
      <c r="J255" s="8"/>
      <c r="K255" s="8"/>
      <c r="L255" s="8"/>
      <c r="M255" s="8"/>
      <c r="N255" s="8"/>
      <c r="O255" s="8"/>
      <c r="P255" s="8"/>
      <c r="Q255" s="8"/>
      <c r="R255" s="8"/>
    </row>
    <row r="256" ht="15.75" customHeight="1">
      <c r="A256" s="543"/>
      <c r="B256" s="8"/>
      <c r="C256" s="8"/>
      <c r="D256" s="8"/>
      <c r="E256" s="8"/>
      <c r="F256" s="544"/>
      <c r="G256" s="8"/>
      <c r="H256" s="8"/>
      <c r="I256" s="543"/>
      <c r="J256" s="8"/>
      <c r="K256" s="8"/>
      <c r="L256" s="8"/>
      <c r="M256" s="8"/>
      <c r="N256" s="8"/>
      <c r="O256" s="8"/>
      <c r="P256" s="8"/>
      <c r="Q256" s="8"/>
      <c r="R256" s="8"/>
    </row>
    <row r="257" ht="15.75" customHeight="1">
      <c r="A257" s="543"/>
      <c r="B257" s="8"/>
      <c r="C257" s="8"/>
      <c r="D257" s="8"/>
      <c r="E257" s="8"/>
      <c r="F257" s="544"/>
      <c r="G257" s="8"/>
      <c r="H257" s="8"/>
      <c r="I257" s="543"/>
      <c r="J257" s="8"/>
      <c r="K257" s="8"/>
      <c r="L257" s="8"/>
      <c r="M257" s="8"/>
      <c r="N257" s="8"/>
      <c r="O257" s="8"/>
      <c r="P257" s="8"/>
      <c r="Q257" s="8"/>
      <c r="R257" s="8"/>
    </row>
    <row r="258" ht="15.75" customHeight="1">
      <c r="A258" s="543"/>
      <c r="B258" s="8"/>
      <c r="C258" s="8"/>
      <c r="D258" s="8"/>
      <c r="E258" s="8"/>
      <c r="F258" s="544"/>
      <c r="G258" s="8"/>
      <c r="H258" s="8"/>
      <c r="I258" s="543"/>
      <c r="J258" s="8"/>
      <c r="K258" s="8"/>
      <c r="L258" s="8"/>
      <c r="M258" s="8"/>
      <c r="N258" s="8"/>
      <c r="O258" s="8"/>
      <c r="P258" s="8"/>
      <c r="Q258" s="8"/>
      <c r="R258" s="8"/>
    </row>
    <row r="259" ht="15.75" customHeight="1">
      <c r="A259" s="543"/>
      <c r="B259" s="8"/>
      <c r="C259" s="8"/>
      <c r="D259" s="8"/>
      <c r="E259" s="8"/>
      <c r="F259" s="544"/>
      <c r="G259" s="8"/>
      <c r="H259" s="8"/>
      <c r="I259" s="543"/>
      <c r="J259" s="8"/>
      <c r="K259" s="8"/>
      <c r="L259" s="8"/>
      <c r="M259" s="8"/>
      <c r="N259" s="8"/>
      <c r="O259" s="8"/>
      <c r="P259" s="8"/>
      <c r="Q259" s="8"/>
      <c r="R259" s="8"/>
    </row>
    <row r="260" ht="15.75" customHeight="1">
      <c r="A260" s="543"/>
      <c r="B260" s="8"/>
      <c r="C260" s="8"/>
      <c r="D260" s="8"/>
      <c r="E260" s="8"/>
      <c r="F260" s="544"/>
      <c r="G260" s="8"/>
      <c r="H260" s="8"/>
      <c r="I260" s="543"/>
      <c r="J260" s="8"/>
      <c r="K260" s="8"/>
      <c r="L260" s="8"/>
      <c r="M260" s="8"/>
      <c r="N260" s="8"/>
      <c r="O260" s="8"/>
      <c r="P260" s="8"/>
      <c r="Q260" s="8"/>
      <c r="R260" s="8"/>
    </row>
    <row r="261" ht="15.75" customHeight="1">
      <c r="A261" s="543"/>
      <c r="B261" s="8"/>
      <c r="C261" s="8"/>
      <c r="D261" s="8"/>
      <c r="E261" s="8"/>
      <c r="F261" s="544"/>
      <c r="G261" s="8"/>
      <c r="H261" s="8"/>
      <c r="I261" s="543"/>
      <c r="J261" s="8"/>
      <c r="K261" s="8"/>
      <c r="L261" s="8"/>
      <c r="M261" s="8"/>
      <c r="N261" s="8"/>
      <c r="O261" s="8"/>
      <c r="P261" s="8"/>
      <c r="Q261" s="8"/>
      <c r="R261" s="8"/>
    </row>
    <row r="262" ht="15.75" customHeight="1">
      <c r="A262" s="543"/>
      <c r="B262" s="8"/>
      <c r="C262" s="8"/>
      <c r="D262" s="8"/>
      <c r="E262" s="8"/>
      <c r="F262" s="544"/>
      <c r="G262" s="8"/>
      <c r="H262" s="8"/>
      <c r="I262" s="543"/>
      <c r="J262" s="8"/>
      <c r="K262" s="8"/>
      <c r="L262" s="8"/>
      <c r="M262" s="8"/>
      <c r="N262" s="8"/>
      <c r="O262" s="8"/>
      <c r="P262" s="8"/>
      <c r="Q262" s="8"/>
      <c r="R262" s="8"/>
    </row>
    <row r="263" ht="15.75" customHeight="1">
      <c r="A263" s="543"/>
      <c r="B263" s="8"/>
      <c r="C263" s="8"/>
      <c r="D263" s="8"/>
      <c r="E263" s="8"/>
      <c r="F263" s="544"/>
      <c r="G263" s="8"/>
      <c r="H263" s="8"/>
      <c r="I263" s="543"/>
      <c r="J263" s="8"/>
      <c r="K263" s="8"/>
      <c r="L263" s="8"/>
      <c r="M263" s="8"/>
      <c r="N263" s="8"/>
      <c r="O263" s="8"/>
      <c r="P263" s="8"/>
      <c r="Q263" s="8"/>
      <c r="R263" s="8"/>
    </row>
    <row r="264" ht="15.75" customHeight="1">
      <c r="A264" s="543"/>
      <c r="B264" s="8"/>
      <c r="C264" s="8"/>
      <c r="D264" s="8"/>
      <c r="E264" s="8"/>
      <c r="F264" s="544"/>
      <c r="G264" s="8"/>
      <c r="H264" s="8"/>
      <c r="I264" s="543"/>
      <c r="J264" s="8"/>
      <c r="K264" s="8"/>
      <c r="L264" s="8"/>
      <c r="M264" s="8"/>
      <c r="N264" s="8"/>
      <c r="O264" s="8"/>
      <c r="P264" s="8"/>
      <c r="Q264" s="8"/>
      <c r="R264" s="8"/>
    </row>
    <row r="265" ht="15.75" customHeight="1">
      <c r="A265" s="543"/>
      <c r="B265" s="8"/>
      <c r="C265" s="8"/>
      <c r="D265" s="8"/>
      <c r="E265" s="8"/>
      <c r="F265" s="544"/>
      <c r="G265" s="8"/>
      <c r="H265" s="8"/>
      <c r="I265" s="543"/>
      <c r="J265" s="8"/>
      <c r="K265" s="8"/>
      <c r="L265" s="8"/>
      <c r="M265" s="8"/>
      <c r="N265" s="8"/>
      <c r="O265" s="8"/>
      <c r="P265" s="8"/>
      <c r="Q265" s="8"/>
      <c r="R265" s="8"/>
    </row>
    <row r="266" ht="15.75" customHeight="1">
      <c r="A266" s="543"/>
      <c r="B266" s="8"/>
      <c r="C266" s="8"/>
      <c r="D266" s="8"/>
      <c r="E266" s="8"/>
      <c r="F266" s="544"/>
      <c r="G266" s="8"/>
      <c r="H266" s="8"/>
      <c r="I266" s="543"/>
      <c r="J266" s="8"/>
      <c r="K266" s="8"/>
      <c r="L266" s="8"/>
      <c r="M266" s="8"/>
      <c r="N266" s="8"/>
      <c r="O266" s="8"/>
      <c r="P266" s="8"/>
      <c r="Q266" s="8"/>
      <c r="R266" s="8"/>
    </row>
    <row r="267" ht="15.75" customHeight="1">
      <c r="A267" s="543"/>
      <c r="B267" s="8"/>
      <c r="C267" s="8"/>
      <c r="D267" s="8"/>
      <c r="E267" s="8"/>
      <c r="F267" s="544"/>
      <c r="G267" s="8"/>
      <c r="H267" s="8"/>
      <c r="I267" s="543"/>
      <c r="J267" s="8"/>
      <c r="K267" s="8"/>
      <c r="L267" s="8"/>
      <c r="M267" s="8"/>
      <c r="N267" s="8"/>
      <c r="O267" s="8"/>
      <c r="P267" s="8"/>
      <c r="Q267" s="8"/>
      <c r="R267" s="8"/>
    </row>
    <row r="268" ht="15.75" customHeight="1">
      <c r="A268" s="543"/>
      <c r="B268" s="8"/>
      <c r="C268" s="8"/>
      <c r="D268" s="8"/>
      <c r="E268" s="8"/>
      <c r="F268" s="544"/>
      <c r="G268" s="8"/>
      <c r="H268" s="8"/>
      <c r="I268" s="543"/>
      <c r="J268" s="8"/>
      <c r="K268" s="8"/>
      <c r="L268" s="8"/>
      <c r="M268" s="8"/>
      <c r="N268" s="8"/>
      <c r="O268" s="8"/>
      <c r="P268" s="8"/>
      <c r="Q268" s="8"/>
      <c r="R268" s="8"/>
    </row>
    <row r="269" ht="15.75" customHeight="1">
      <c r="A269" s="543"/>
      <c r="B269" s="8"/>
      <c r="C269" s="8"/>
      <c r="D269" s="8"/>
      <c r="E269" s="8"/>
      <c r="F269" s="544"/>
      <c r="G269" s="8"/>
      <c r="H269" s="8"/>
      <c r="I269" s="543"/>
      <c r="J269" s="8"/>
      <c r="K269" s="8"/>
      <c r="L269" s="8"/>
      <c r="M269" s="8"/>
      <c r="N269" s="8"/>
      <c r="O269" s="8"/>
      <c r="P269" s="8"/>
      <c r="Q269" s="8"/>
      <c r="R269" s="8"/>
    </row>
    <row r="270" ht="15.75" customHeight="1">
      <c r="A270" s="543"/>
      <c r="B270" s="8"/>
      <c r="C270" s="8"/>
      <c r="D270" s="8"/>
      <c r="E270" s="8"/>
      <c r="F270" s="544"/>
      <c r="G270" s="8"/>
      <c r="H270" s="8"/>
      <c r="I270" s="543"/>
      <c r="J270" s="8"/>
      <c r="K270" s="8"/>
      <c r="L270" s="8"/>
      <c r="M270" s="8"/>
      <c r="N270" s="8"/>
      <c r="O270" s="8"/>
      <c r="P270" s="8"/>
      <c r="Q270" s="8"/>
      <c r="R270" s="8"/>
    </row>
    <row r="271" ht="15.75" customHeight="1">
      <c r="A271" s="543"/>
      <c r="B271" s="8"/>
      <c r="C271" s="8"/>
      <c r="D271" s="8"/>
      <c r="E271" s="8"/>
      <c r="F271" s="544"/>
      <c r="G271" s="8"/>
      <c r="H271" s="8"/>
      <c r="I271" s="543"/>
      <c r="J271" s="8"/>
      <c r="K271" s="8"/>
      <c r="L271" s="8"/>
      <c r="M271" s="8"/>
      <c r="N271" s="8"/>
      <c r="O271" s="8"/>
      <c r="P271" s="8"/>
      <c r="Q271" s="8"/>
      <c r="R271" s="8"/>
    </row>
    <row r="272" ht="15.75" customHeight="1">
      <c r="A272" s="543"/>
      <c r="B272" s="8"/>
      <c r="C272" s="8"/>
      <c r="D272" s="8"/>
      <c r="E272" s="8"/>
      <c r="F272" s="544"/>
      <c r="G272" s="8"/>
      <c r="H272" s="8"/>
      <c r="I272" s="543"/>
      <c r="J272" s="8"/>
      <c r="K272" s="8"/>
      <c r="L272" s="8"/>
      <c r="M272" s="8"/>
      <c r="N272" s="8"/>
      <c r="O272" s="8"/>
      <c r="P272" s="8"/>
      <c r="Q272" s="8"/>
      <c r="R272" s="8"/>
    </row>
    <row r="273" ht="15.75" customHeight="1">
      <c r="A273" s="543"/>
      <c r="B273" s="8"/>
      <c r="C273" s="8"/>
      <c r="D273" s="8"/>
      <c r="E273" s="8"/>
      <c r="F273" s="544"/>
      <c r="G273" s="8"/>
      <c r="H273" s="8"/>
      <c r="I273" s="543"/>
      <c r="J273" s="8"/>
      <c r="K273" s="8"/>
      <c r="L273" s="8"/>
      <c r="M273" s="8"/>
      <c r="N273" s="8"/>
      <c r="O273" s="8"/>
      <c r="P273" s="8"/>
      <c r="Q273" s="8"/>
      <c r="R273" s="8"/>
    </row>
    <row r="274" ht="15.75" customHeight="1">
      <c r="A274" s="543"/>
      <c r="B274" s="8"/>
      <c r="C274" s="8"/>
      <c r="D274" s="8"/>
      <c r="E274" s="8"/>
      <c r="F274" s="544"/>
      <c r="G274" s="8"/>
      <c r="H274" s="8"/>
      <c r="I274" s="543"/>
      <c r="J274" s="8"/>
      <c r="K274" s="8"/>
      <c r="L274" s="8"/>
      <c r="M274" s="8"/>
      <c r="N274" s="8"/>
      <c r="O274" s="8"/>
      <c r="P274" s="8"/>
      <c r="Q274" s="8"/>
      <c r="R274" s="8"/>
    </row>
    <row r="275" ht="15.75" customHeight="1">
      <c r="A275" s="543"/>
      <c r="B275" s="8"/>
      <c r="C275" s="8"/>
      <c r="D275" s="8"/>
      <c r="E275" s="8"/>
      <c r="F275" s="544"/>
      <c r="G275" s="8"/>
      <c r="H275" s="8"/>
      <c r="I275" s="543"/>
      <c r="J275" s="8"/>
      <c r="K275" s="8"/>
      <c r="L275" s="8"/>
      <c r="M275" s="8"/>
      <c r="N275" s="8"/>
      <c r="O275" s="8"/>
      <c r="P275" s="8"/>
      <c r="Q275" s="8"/>
      <c r="R275" s="8"/>
    </row>
    <row r="276" ht="15.75" customHeight="1">
      <c r="A276" s="543"/>
      <c r="B276" s="8"/>
      <c r="C276" s="8"/>
      <c r="D276" s="8"/>
      <c r="E276" s="8"/>
      <c r="F276" s="544"/>
      <c r="G276" s="8"/>
      <c r="H276" s="8"/>
      <c r="I276" s="543"/>
      <c r="J276" s="8"/>
      <c r="K276" s="8"/>
      <c r="L276" s="8"/>
      <c r="M276" s="8"/>
      <c r="N276" s="8"/>
      <c r="O276" s="8"/>
      <c r="P276" s="8"/>
      <c r="Q276" s="8"/>
      <c r="R276" s="8"/>
    </row>
    <row r="277" ht="15.75" customHeight="1">
      <c r="A277" s="543"/>
      <c r="B277" s="8"/>
      <c r="C277" s="8"/>
      <c r="D277" s="8"/>
      <c r="E277" s="8"/>
      <c r="F277" s="544"/>
      <c r="G277" s="8"/>
      <c r="H277" s="8"/>
      <c r="I277" s="543"/>
      <c r="J277" s="8"/>
      <c r="K277" s="8"/>
      <c r="L277" s="8"/>
      <c r="M277" s="8"/>
      <c r="N277" s="8"/>
      <c r="O277" s="8"/>
      <c r="P277" s="8"/>
      <c r="Q277" s="8"/>
      <c r="R277" s="8"/>
    </row>
    <row r="278" ht="15.75" customHeight="1">
      <c r="A278" s="543"/>
      <c r="B278" s="8"/>
      <c r="C278" s="8"/>
      <c r="D278" s="8"/>
      <c r="E278" s="8"/>
      <c r="F278" s="544"/>
      <c r="G278" s="8"/>
      <c r="H278" s="8"/>
      <c r="I278" s="543"/>
      <c r="J278" s="8"/>
      <c r="K278" s="8"/>
      <c r="L278" s="8"/>
      <c r="M278" s="8"/>
      <c r="N278" s="8"/>
      <c r="O278" s="8"/>
      <c r="P278" s="8"/>
      <c r="Q278" s="8"/>
      <c r="R278" s="8"/>
    </row>
    <row r="279" ht="15.75" customHeight="1">
      <c r="A279" s="543"/>
      <c r="B279" s="8"/>
      <c r="C279" s="8"/>
      <c r="D279" s="8"/>
      <c r="E279" s="8"/>
      <c r="F279" s="544"/>
      <c r="G279" s="8"/>
      <c r="H279" s="8"/>
      <c r="I279" s="543"/>
      <c r="J279" s="8"/>
      <c r="K279" s="8"/>
      <c r="L279" s="8"/>
      <c r="M279" s="8"/>
      <c r="N279" s="8"/>
      <c r="O279" s="8"/>
      <c r="P279" s="8"/>
      <c r="Q279" s="8"/>
      <c r="R279" s="8"/>
    </row>
    <row r="280" ht="15.75" customHeight="1">
      <c r="A280" s="543"/>
      <c r="B280" s="8"/>
      <c r="C280" s="8"/>
      <c r="D280" s="8"/>
      <c r="E280" s="8"/>
      <c r="F280" s="544"/>
      <c r="G280" s="8"/>
      <c r="H280" s="8"/>
      <c r="I280" s="543"/>
      <c r="J280" s="8"/>
      <c r="K280" s="8"/>
      <c r="L280" s="8"/>
      <c r="M280" s="8"/>
      <c r="N280" s="8"/>
      <c r="O280" s="8"/>
      <c r="P280" s="8"/>
      <c r="Q280" s="8"/>
      <c r="R280" s="8"/>
    </row>
    <row r="281" ht="15.75" customHeight="1">
      <c r="A281" s="543"/>
      <c r="B281" s="8"/>
      <c r="C281" s="8"/>
      <c r="D281" s="8"/>
      <c r="E281" s="8"/>
      <c r="F281" s="544"/>
      <c r="G281" s="8"/>
      <c r="H281" s="8"/>
      <c r="I281" s="543"/>
      <c r="J281" s="8"/>
      <c r="K281" s="8"/>
      <c r="L281" s="8"/>
      <c r="M281" s="8"/>
      <c r="N281" s="8"/>
      <c r="O281" s="8"/>
      <c r="P281" s="8"/>
      <c r="Q281" s="8"/>
      <c r="R281" s="8"/>
    </row>
    <row r="282" ht="15.75" customHeight="1">
      <c r="A282" s="543"/>
      <c r="B282" s="8"/>
      <c r="C282" s="8"/>
      <c r="D282" s="8"/>
      <c r="E282" s="8"/>
      <c r="F282" s="544"/>
      <c r="G282" s="8"/>
      <c r="H282" s="8"/>
      <c r="I282" s="543"/>
      <c r="J282" s="8"/>
      <c r="K282" s="8"/>
      <c r="L282" s="8"/>
      <c r="M282" s="8"/>
      <c r="N282" s="8"/>
      <c r="O282" s="8"/>
      <c r="P282" s="8"/>
      <c r="Q282" s="8"/>
      <c r="R282" s="8"/>
    </row>
    <row r="283" ht="15.75" customHeight="1">
      <c r="A283" s="543"/>
      <c r="B283" s="8"/>
      <c r="C283" s="8"/>
      <c r="D283" s="8"/>
      <c r="E283" s="8"/>
      <c r="F283" s="544"/>
      <c r="G283" s="8"/>
      <c r="H283" s="8"/>
      <c r="I283" s="543"/>
      <c r="J283" s="8"/>
      <c r="K283" s="8"/>
      <c r="L283" s="8"/>
      <c r="M283" s="8"/>
      <c r="N283" s="115"/>
      <c r="O283" s="8"/>
      <c r="P283" s="8"/>
      <c r="Q283" s="8"/>
      <c r="R283" s="8"/>
    </row>
    <row r="284" ht="15.75" customHeight="1">
      <c r="A284" s="543"/>
      <c r="B284" s="8"/>
      <c r="C284" s="8"/>
      <c r="D284" s="8"/>
      <c r="E284" s="8"/>
      <c r="F284" s="544"/>
      <c r="G284" s="8"/>
      <c r="H284" s="8"/>
      <c r="I284" s="543"/>
      <c r="J284" s="8"/>
      <c r="K284" s="8"/>
      <c r="L284" s="8"/>
      <c r="M284" s="8"/>
      <c r="N284" s="115"/>
      <c r="O284" s="8"/>
      <c r="P284" s="8"/>
      <c r="Q284" s="8"/>
      <c r="R284" s="8"/>
    </row>
    <row r="285" ht="15.75" customHeight="1">
      <c r="A285" s="543"/>
      <c r="B285" s="8"/>
      <c r="C285" s="8"/>
      <c r="D285" s="8"/>
      <c r="E285" s="8"/>
      <c r="F285" s="544"/>
      <c r="G285" s="8"/>
      <c r="H285" s="8"/>
      <c r="I285" s="543"/>
      <c r="J285" s="8"/>
      <c r="K285" s="8"/>
      <c r="L285" s="8"/>
      <c r="M285" s="8"/>
      <c r="N285" s="115"/>
      <c r="O285" s="8"/>
      <c r="P285" s="8"/>
      <c r="Q285" s="8"/>
      <c r="R285" s="8"/>
    </row>
    <row r="286" ht="15.75" customHeight="1">
      <c r="A286" s="543"/>
      <c r="B286" s="8"/>
      <c r="C286" s="8"/>
      <c r="D286" s="8"/>
      <c r="E286" s="8"/>
      <c r="F286" s="544"/>
      <c r="G286" s="8"/>
      <c r="H286" s="8"/>
      <c r="I286" s="543"/>
      <c r="J286" s="8"/>
      <c r="K286" s="8"/>
      <c r="L286" s="8"/>
      <c r="M286" s="8"/>
      <c r="N286" s="115"/>
      <c r="O286" s="8"/>
      <c r="P286" s="8"/>
      <c r="Q286" s="8"/>
      <c r="R286" s="8"/>
    </row>
    <row r="287" ht="15.75" customHeight="1">
      <c r="A287" s="543"/>
      <c r="B287" s="8"/>
      <c r="C287" s="8"/>
      <c r="D287" s="8"/>
      <c r="E287" s="8"/>
      <c r="F287" s="544"/>
      <c r="G287" s="8"/>
      <c r="H287" s="8"/>
      <c r="I287" s="543"/>
      <c r="J287" s="8"/>
      <c r="K287" s="8"/>
      <c r="L287" s="8"/>
      <c r="M287" s="8"/>
      <c r="N287" s="115"/>
      <c r="O287" s="8"/>
      <c r="P287" s="8"/>
      <c r="Q287" s="8"/>
      <c r="R287" s="8"/>
    </row>
    <row r="288" ht="15.75" customHeight="1">
      <c r="A288" s="543"/>
      <c r="B288" s="8"/>
      <c r="C288" s="8"/>
      <c r="D288" s="8"/>
      <c r="E288" s="8"/>
      <c r="F288" s="544"/>
      <c r="G288" s="8"/>
      <c r="H288" s="8"/>
      <c r="I288" s="543"/>
      <c r="J288" s="8"/>
      <c r="K288" s="8"/>
      <c r="L288" s="8"/>
      <c r="M288" s="8"/>
      <c r="N288" s="115"/>
      <c r="O288" s="8"/>
      <c r="P288" s="8"/>
      <c r="Q288" s="8"/>
      <c r="R288" s="8"/>
    </row>
    <row r="289" ht="15.75" customHeight="1">
      <c r="A289" s="543"/>
      <c r="B289" s="8"/>
      <c r="C289" s="8"/>
      <c r="D289" s="8"/>
      <c r="E289" s="8"/>
      <c r="F289" s="544"/>
      <c r="G289" s="8"/>
      <c r="H289" s="8"/>
      <c r="I289" s="543"/>
      <c r="J289" s="8"/>
      <c r="K289" s="8"/>
      <c r="L289" s="8"/>
      <c r="M289" s="8"/>
      <c r="N289" s="115"/>
      <c r="O289" s="8"/>
      <c r="P289" s="8"/>
      <c r="Q289" s="8"/>
      <c r="R289" s="8"/>
    </row>
    <row r="290" ht="15.75" customHeight="1">
      <c r="A290" s="543"/>
      <c r="B290" s="8"/>
      <c r="C290" s="8"/>
      <c r="D290" s="8"/>
      <c r="E290" s="8"/>
      <c r="F290" s="544"/>
      <c r="G290" s="8"/>
      <c r="H290" s="8"/>
      <c r="I290" s="543"/>
      <c r="J290" s="8"/>
      <c r="K290" s="8"/>
      <c r="L290" s="8"/>
      <c r="M290" s="8"/>
      <c r="N290" s="115"/>
      <c r="O290" s="8"/>
      <c r="P290" s="8"/>
      <c r="Q290" s="8"/>
      <c r="R290" s="8"/>
    </row>
    <row r="291" ht="15.75" customHeight="1">
      <c r="A291" s="543"/>
      <c r="B291" s="8"/>
      <c r="C291" s="8"/>
      <c r="D291" s="8"/>
      <c r="E291" s="8"/>
      <c r="F291" s="544"/>
      <c r="G291" s="8"/>
      <c r="H291" s="8"/>
      <c r="I291" s="543"/>
      <c r="J291" s="8"/>
      <c r="K291" s="8"/>
      <c r="L291" s="8"/>
      <c r="M291" s="8"/>
      <c r="N291" s="115"/>
      <c r="O291" s="8"/>
      <c r="P291" s="8"/>
      <c r="Q291" s="8"/>
      <c r="R291" s="8"/>
    </row>
    <row r="292" ht="15.75" customHeight="1">
      <c r="A292" s="543"/>
      <c r="B292" s="8"/>
      <c r="C292" s="8"/>
      <c r="D292" s="8"/>
      <c r="E292" s="8"/>
      <c r="F292" s="544"/>
      <c r="G292" s="8"/>
      <c r="H292" s="8"/>
      <c r="I292" s="543"/>
      <c r="J292" s="8"/>
      <c r="K292" s="8"/>
      <c r="L292" s="8"/>
      <c r="M292" s="8"/>
      <c r="N292" s="115"/>
      <c r="O292" s="8"/>
      <c r="P292" s="8"/>
      <c r="Q292" s="8"/>
      <c r="R292" s="8"/>
    </row>
    <row r="293" ht="15.75" customHeight="1">
      <c r="A293" s="543"/>
      <c r="B293" s="8"/>
      <c r="C293" s="8"/>
      <c r="D293" s="8"/>
      <c r="E293" s="8"/>
      <c r="F293" s="544"/>
      <c r="G293" s="8"/>
      <c r="H293" s="8"/>
      <c r="I293" s="543"/>
      <c r="J293" s="8"/>
      <c r="K293" s="8"/>
      <c r="L293" s="8"/>
      <c r="M293" s="8"/>
      <c r="N293" s="115"/>
      <c r="O293" s="8"/>
      <c r="P293" s="8"/>
      <c r="Q293" s="8"/>
      <c r="R293" s="8"/>
    </row>
    <row r="294" ht="15.75" customHeight="1">
      <c r="A294" s="543"/>
      <c r="B294" s="8"/>
      <c r="C294" s="8"/>
      <c r="D294" s="8"/>
      <c r="E294" s="8"/>
      <c r="F294" s="544"/>
      <c r="G294" s="8"/>
      <c r="H294" s="8"/>
      <c r="I294" s="543"/>
      <c r="J294" s="8"/>
      <c r="K294" s="8"/>
      <c r="L294" s="8"/>
      <c r="M294" s="8"/>
      <c r="N294" s="115"/>
      <c r="O294" s="8"/>
      <c r="P294" s="8"/>
      <c r="Q294" s="8"/>
      <c r="R294" s="8"/>
    </row>
    <row r="295" ht="15.75" customHeight="1">
      <c r="A295" s="543"/>
      <c r="B295" s="8"/>
      <c r="C295" s="8"/>
      <c r="D295" s="8"/>
      <c r="E295" s="8"/>
      <c r="F295" s="544"/>
      <c r="G295" s="8"/>
      <c r="H295" s="8"/>
      <c r="I295" s="543"/>
      <c r="J295" s="8"/>
      <c r="K295" s="8"/>
      <c r="L295" s="8"/>
      <c r="M295" s="8"/>
      <c r="N295" s="115"/>
      <c r="O295" s="8"/>
      <c r="P295" s="8"/>
      <c r="Q295" s="8"/>
      <c r="R295" s="8"/>
    </row>
    <row r="296" ht="15.75" customHeight="1">
      <c r="A296" s="543"/>
      <c r="B296" s="8"/>
      <c r="C296" s="8"/>
      <c r="D296" s="8"/>
      <c r="E296" s="8"/>
      <c r="F296" s="544"/>
      <c r="G296" s="8"/>
      <c r="H296" s="8"/>
      <c r="I296" s="543"/>
      <c r="J296" s="8"/>
      <c r="K296" s="8"/>
      <c r="L296" s="8"/>
      <c r="M296" s="8"/>
      <c r="N296" s="115"/>
      <c r="O296" s="8"/>
      <c r="P296" s="8"/>
      <c r="Q296" s="8"/>
      <c r="R296" s="8"/>
    </row>
    <row r="297" ht="15.75" customHeight="1">
      <c r="A297" s="543"/>
      <c r="B297" s="8"/>
      <c r="C297" s="8"/>
      <c r="D297" s="8"/>
      <c r="E297" s="8"/>
      <c r="F297" s="544"/>
      <c r="G297" s="8"/>
      <c r="H297" s="8"/>
      <c r="I297" s="543"/>
      <c r="J297" s="8"/>
      <c r="K297" s="8"/>
      <c r="L297" s="8"/>
      <c r="M297" s="8"/>
      <c r="N297" s="115"/>
      <c r="O297" s="8"/>
      <c r="P297" s="8"/>
      <c r="Q297" s="8"/>
      <c r="R297" s="8"/>
    </row>
    <row r="298" ht="15.75" customHeight="1">
      <c r="A298" s="543"/>
      <c r="B298" s="8"/>
      <c r="C298" s="8"/>
      <c r="D298" s="8"/>
      <c r="E298" s="8"/>
      <c r="F298" s="544"/>
      <c r="G298" s="8"/>
      <c r="H298" s="8"/>
      <c r="I298" s="543"/>
      <c r="J298" s="8"/>
      <c r="K298" s="8"/>
      <c r="L298" s="8"/>
      <c r="M298" s="8"/>
      <c r="N298" s="115"/>
      <c r="O298" s="8"/>
      <c r="P298" s="8"/>
      <c r="Q298" s="8"/>
      <c r="R298" s="8"/>
    </row>
    <row r="299" ht="15.75" customHeight="1">
      <c r="A299" s="543"/>
      <c r="B299" s="8"/>
      <c r="C299" s="8"/>
      <c r="D299" s="8"/>
      <c r="E299" s="8"/>
      <c r="F299" s="544"/>
      <c r="G299" s="8"/>
      <c r="H299" s="8"/>
      <c r="I299" s="543"/>
      <c r="J299" s="8"/>
      <c r="K299" s="8"/>
      <c r="L299" s="8"/>
      <c r="M299" s="8"/>
      <c r="N299" s="115"/>
      <c r="O299" s="8"/>
      <c r="P299" s="8"/>
      <c r="Q299" s="8"/>
      <c r="R299" s="8"/>
    </row>
    <row r="300" ht="15.75" customHeight="1">
      <c r="A300" s="543"/>
      <c r="B300" s="8"/>
      <c r="C300" s="8"/>
      <c r="D300" s="8"/>
      <c r="E300" s="8"/>
      <c r="F300" s="544"/>
      <c r="G300" s="8"/>
      <c r="H300" s="8"/>
      <c r="I300" s="543"/>
      <c r="J300" s="8"/>
      <c r="K300" s="8"/>
      <c r="L300" s="8"/>
      <c r="M300" s="8"/>
      <c r="N300" s="115"/>
      <c r="O300" s="8"/>
      <c r="P300" s="8"/>
      <c r="Q300" s="8"/>
      <c r="R300" s="8"/>
    </row>
    <row r="301" ht="15.75" customHeight="1">
      <c r="A301" s="543"/>
      <c r="B301" s="8"/>
      <c r="C301" s="8"/>
      <c r="D301" s="8"/>
      <c r="E301" s="8"/>
      <c r="F301" s="544"/>
      <c r="G301" s="8"/>
      <c r="H301" s="8"/>
      <c r="I301" s="543"/>
      <c r="J301" s="8"/>
      <c r="K301" s="8"/>
      <c r="L301" s="8"/>
      <c r="M301" s="8"/>
      <c r="N301" s="115"/>
      <c r="O301" s="8"/>
      <c r="P301" s="8"/>
      <c r="Q301" s="8"/>
      <c r="R301" s="8"/>
    </row>
    <row r="302" ht="15.75" customHeight="1">
      <c r="A302" s="543"/>
      <c r="B302" s="8"/>
      <c r="C302" s="8"/>
      <c r="D302" s="8"/>
      <c r="E302" s="8"/>
      <c r="F302" s="544"/>
      <c r="G302" s="8"/>
      <c r="H302" s="8"/>
      <c r="I302" s="543"/>
      <c r="J302" s="8"/>
      <c r="K302" s="8"/>
      <c r="L302" s="8"/>
      <c r="M302" s="8"/>
      <c r="N302" s="115"/>
      <c r="O302" s="8"/>
      <c r="P302" s="8"/>
      <c r="Q302" s="8"/>
      <c r="R302" s="8"/>
    </row>
    <row r="303" ht="15.75" customHeight="1">
      <c r="A303" s="543"/>
      <c r="B303" s="8"/>
      <c r="C303" s="8"/>
      <c r="D303" s="8"/>
      <c r="E303" s="8"/>
      <c r="F303" s="544"/>
      <c r="G303" s="8"/>
      <c r="H303" s="8"/>
      <c r="I303" s="543"/>
      <c r="J303" s="8"/>
      <c r="K303" s="8"/>
      <c r="L303" s="8"/>
      <c r="M303" s="8"/>
      <c r="N303" s="115"/>
      <c r="O303" s="8"/>
      <c r="P303" s="8"/>
      <c r="Q303" s="8"/>
      <c r="R303" s="8"/>
    </row>
    <row r="304" ht="15.75" customHeight="1">
      <c r="A304" s="543"/>
      <c r="B304" s="8"/>
      <c r="C304" s="8"/>
      <c r="D304" s="8"/>
      <c r="E304" s="8"/>
      <c r="F304" s="544"/>
      <c r="G304" s="8"/>
      <c r="H304" s="8"/>
      <c r="I304" s="543"/>
      <c r="J304" s="8"/>
      <c r="K304" s="8"/>
      <c r="L304" s="8"/>
      <c r="M304" s="8"/>
      <c r="N304" s="115"/>
      <c r="O304" s="8"/>
      <c r="P304" s="8"/>
      <c r="Q304" s="8"/>
      <c r="R304" s="8"/>
    </row>
    <row r="305" ht="15.75" customHeight="1">
      <c r="A305" s="543"/>
      <c r="B305" s="8"/>
      <c r="C305" s="8"/>
      <c r="D305" s="8"/>
      <c r="E305" s="8"/>
      <c r="F305" s="544"/>
      <c r="G305" s="8"/>
      <c r="H305" s="8"/>
      <c r="I305" s="543"/>
      <c r="J305" s="8"/>
      <c r="K305" s="8"/>
      <c r="L305" s="8"/>
      <c r="M305" s="8"/>
      <c r="N305" s="115"/>
      <c r="O305" s="8"/>
      <c r="P305" s="8"/>
      <c r="Q305" s="8"/>
      <c r="R305" s="8"/>
    </row>
    <row r="306" ht="15.75" customHeight="1">
      <c r="A306" s="543"/>
      <c r="B306" s="8"/>
      <c r="C306" s="8"/>
      <c r="D306" s="8"/>
      <c r="E306" s="8"/>
      <c r="F306" s="544"/>
      <c r="G306" s="8"/>
      <c r="H306" s="8"/>
      <c r="I306" s="543"/>
      <c r="J306" s="8"/>
      <c r="K306" s="8"/>
      <c r="L306" s="8"/>
      <c r="M306" s="8"/>
      <c r="N306" s="115"/>
      <c r="O306" s="8"/>
      <c r="P306" s="8"/>
      <c r="Q306" s="8"/>
      <c r="R306" s="8"/>
    </row>
    <row r="307" ht="15.75" customHeight="1">
      <c r="A307" s="543"/>
      <c r="B307" s="8"/>
      <c r="C307" s="8"/>
      <c r="D307" s="8"/>
      <c r="E307" s="8"/>
      <c r="F307" s="544"/>
      <c r="G307" s="8"/>
      <c r="H307" s="8"/>
      <c r="I307" s="543"/>
      <c r="J307" s="8"/>
      <c r="K307" s="8"/>
      <c r="L307" s="8"/>
      <c r="M307" s="8"/>
      <c r="N307" s="115"/>
      <c r="O307" s="8"/>
      <c r="P307" s="8"/>
      <c r="Q307" s="8"/>
      <c r="R307" s="8"/>
    </row>
    <row r="308" ht="15.75" customHeight="1">
      <c r="A308" s="543"/>
      <c r="B308" s="8"/>
      <c r="C308" s="8"/>
      <c r="D308" s="8"/>
      <c r="E308" s="8"/>
      <c r="F308" s="544"/>
      <c r="G308" s="8"/>
      <c r="H308" s="8"/>
      <c r="I308" s="543"/>
      <c r="J308" s="8"/>
      <c r="K308" s="8"/>
      <c r="L308" s="8"/>
      <c r="M308" s="8"/>
      <c r="N308" s="115"/>
      <c r="O308" s="8"/>
      <c r="P308" s="8"/>
      <c r="Q308" s="8"/>
      <c r="R308" s="8"/>
    </row>
    <row r="309" ht="15.75" customHeight="1">
      <c r="A309" s="543"/>
      <c r="B309" s="8"/>
      <c r="C309" s="8"/>
      <c r="D309" s="8"/>
      <c r="E309" s="8"/>
      <c r="F309" s="544"/>
      <c r="G309" s="8"/>
      <c r="H309" s="8"/>
      <c r="I309" s="543"/>
      <c r="J309" s="8"/>
      <c r="K309" s="8"/>
      <c r="L309" s="8"/>
      <c r="M309" s="8"/>
      <c r="N309" s="115"/>
      <c r="O309" s="8"/>
      <c r="P309" s="8"/>
      <c r="Q309" s="8"/>
      <c r="R309" s="8"/>
    </row>
    <row r="310" ht="15.75" customHeight="1">
      <c r="A310" s="543"/>
      <c r="B310" s="8"/>
      <c r="C310" s="8"/>
      <c r="D310" s="8"/>
      <c r="E310" s="8"/>
      <c r="F310" s="544"/>
      <c r="G310" s="8"/>
      <c r="H310" s="8"/>
      <c r="I310" s="543"/>
      <c r="J310" s="8"/>
      <c r="K310" s="8"/>
      <c r="L310" s="8"/>
      <c r="M310" s="8"/>
      <c r="N310" s="115"/>
      <c r="O310" s="8"/>
      <c r="P310" s="8"/>
      <c r="Q310" s="8"/>
      <c r="R310" s="8"/>
    </row>
    <row r="311" ht="15.75" customHeight="1">
      <c r="A311" s="543"/>
      <c r="B311" s="8"/>
      <c r="C311" s="8"/>
      <c r="D311" s="8"/>
      <c r="E311" s="8"/>
      <c r="F311" s="544"/>
      <c r="G311" s="8"/>
      <c r="H311" s="8"/>
      <c r="I311" s="543"/>
      <c r="J311" s="8"/>
      <c r="K311" s="8"/>
      <c r="L311" s="8"/>
      <c r="M311" s="8"/>
      <c r="N311" s="115"/>
      <c r="O311" s="8"/>
      <c r="P311" s="8"/>
      <c r="Q311" s="8"/>
      <c r="R311" s="8"/>
    </row>
    <row r="312" ht="15.75" customHeight="1">
      <c r="A312" s="543"/>
      <c r="B312" s="8"/>
      <c r="C312" s="8"/>
      <c r="D312" s="8"/>
      <c r="E312" s="8"/>
      <c r="F312" s="544"/>
      <c r="G312" s="8"/>
      <c r="H312" s="8"/>
      <c r="I312" s="543"/>
      <c r="J312" s="8"/>
      <c r="K312" s="8"/>
      <c r="L312" s="8"/>
      <c r="M312" s="8"/>
      <c r="N312" s="115"/>
      <c r="O312" s="8"/>
      <c r="P312" s="8"/>
      <c r="Q312" s="8"/>
      <c r="R312" s="8"/>
    </row>
    <row r="313" ht="15.75" customHeight="1">
      <c r="A313" s="543"/>
      <c r="B313" s="8"/>
      <c r="C313" s="8"/>
      <c r="D313" s="8"/>
      <c r="E313" s="8"/>
      <c r="F313" s="544"/>
      <c r="G313" s="8"/>
      <c r="H313" s="8"/>
      <c r="I313" s="543"/>
      <c r="J313" s="8"/>
      <c r="K313" s="8"/>
      <c r="L313" s="8"/>
      <c r="M313" s="8"/>
      <c r="N313" s="115"/>
      <c r="O313" s="8"/>
      <c r="P313" s="8"/>
      <c r="Q313" s="8"/>
      <c r="R313" s="8"/>
    </row>
    <row r="314" ht="15.75" customHeight="1">
      <c r="A314" s="543"/>
      <c r="B314" s="8"/>
      <c r="C314" s="8"/>
      <c r="D314" s="8"/>
      <c r="E314" s="8"/>
      <c r="F314" s="544"/>
      <c r="G314" s="8"/>
      <c r="H314" s="8"/>
      <c r="I314" s="543"/>
      <c r="J314" s="8"/>
      <c r="K314" s="8"/>
      <c r="L314" s="8"/>
      <c r="M314" s="8"/>
      <c r="N314" s="115"/>
      <c r="O314" s="8"/>
      <c r="P314" s="8"/>
      <c r="Q314" s="8"/>
      <c r="R314" s="8"/>
    </row>
    <row r="315" ht="15.75" customHeight="1">
      <c r="A315" s="543"/>
      <c r="B315" s="8"/>
      <c r="C315" s="8"/>
      <c r="D315" s="8"/>
      <c r="E315" s="8"/>
      <c r="F315" s="544"/>
      <c r="G315" s="8"/>
      <c r="H315" s="8"/>
      <c r="I315" s="543"/>
      <c r="J315" s="8"/>
      <c r="K315" s="8"/>
      <c r="L315" s="8"/>
      <c r="M315" s="8"/>
      <c r="N315" s="115"/>
      <c r="O315" s="8"/>
      <c r="P315" s="8"/>
      <c r="Q315" s="8"/>
      <c r="R315" s="8"/>
    </row>
    <row r="316" ht="15.75" customHeight="1">
      <c r="A316" s="543"/>
      <c r="B316" s="8"/>
      <c r="C316" s="8"/>
      <c r="D316" s="8"/>
      <c r="E316" s="8"/>
      <c r="F316" s="544"/>
      <c r="G316" s="8"/>
      <c r="H316" s="8"/>
      <c r="I316" s="543"/>
      <c r="J316" s="8"/>
      <c r="K316" s="8"/>
      <c r="L316" s="8"/>
      <c r="M316" s="8"/>
      <c r="N316" s="115"/>
      <c r="O316" s="8"/>
      <c r="P316" s="8"/>
      <c r="Q316" s="8"/>
      <c r="R316" s="8"/>
    </row>
    <row r="317" ht="15.75" customHeight="1">
      <c r="A317" s="543"/>
      <c r="B317" s="8"/>
      <c r="C317" s="8"/>
      <c r="D317" s="8"/>
      <c r="E317" s="8"/>
      <c r="F317" s="544"/>
      <c r="G317" s="8"/>
      <c r="H317" s="8"/>
      <c r="I317" s="543"/>
      <c r="J317" s="8"/>
      <c r="K317" s="8"/>
      <c r="L317" s="8"/>
      <c r="M317" s="8"/>
      <c r="N317" s="115"/>
      <c r="O317" s="8"/>
      <c r="P317" s="8"/>
      <c r="Q317" s="8"/>
      <c r="R317" s="8"/>
    </row>
    <row r="318" ht="15.75" customHeight="1">
      <c r="A318" s="543"/>
      <c r="B318" s="8"/>
      <c r="C318" s="8"/>
      <c r="D318" s="8"/>
      <c r="E318" s="8"/>
      <c r="F318" s="544"/>
      <c r="G318" s="8"/>
      <c r="H318" s="8"/>
      <c r="I318" s="543"/>
      <c r="J318" s="8"/>
      <c r="K318" s="8"/>
      <c r="L318" s="8"/>
      <c r="M318" s="8"/>
      <c r="N318" s="115"/>
      <c r="O318" s="8"/>
      <c r="P318" s="8"/>
      <c r="Q318" s="8"/>
      <c r="R318" s="8"/>
    </row>
    <row r="319" ht="15.75" customHeight="1">
      <c r="A319" s="543"/>
      <c r="B319" s="8"/>
      <c r="C319" s="8"/>
      <c r="D319" s="8"/>
      <c r="E319" s="8"/>
      <c r="F319" s="544"/>
      <c r="G319" s="8"/>
      <c r="H319" s="8"/>
      <c r="I319" s="543"/>
      <c r="J319" s="8"/>
      <c r="K319" s="8"/>
      <c r="L319" s="8"/>
      <c r="M319" s="8"/>
      <c r="N319" s="115"/>
      <c r="O319" s="8"/>
      <c r="P319" s="8"/>
      <c r="Q319" s="8"/>
      <c r="R319" s="8"/>
    </row>
    <row r="320" ht="15.75" customHeight="1">
      <c r="A320" s="543"/>
      <c r="B320" s="8"/>
      <c r="C320" s="8"/>
      <c r="D320" s="8"/>
      <c r="E320" s="8"/>
      <c r="F320" s="544"/>
      <c r="G320" s="8"/>
      <c r="H320" s="8"/>
      <c r="I320" s="543"/>
      <c r="J320" s="8"/>
      <c r="K320" s="8"/>
      <c r="L320" s="8"/>
      <c r="M320" s="8"/>
      <c r="N320" s="115"/>
      <c r="O320" s="8"/>
      <c r="P320" s="8"/>
      <c r="Q320" s="8"/>
      <c r="R320" s="8"/>
    </row>
    <row r="321" ht="15.75" customHeight="1">
      <c r="A321" s="543"/>
      <c r="B321" s="8"/>
      <c r="C321" s="8"/>
      <c r="D321" s="8"/>
      <c r="E321" s="8"/>
      <c r="F321" s="544"/>
      <c r="G321" s="8"/>
      <c r="H321" s="8"/>
      <c r="I321" s="543"/>
      <c r="J321" s="8"/>
      <c r="K321" s="8"/>
      <c r="L321" s="8"/>
      <c r="M321" s="8"/>
      <c r="N321" s="115"/>
      <c r="O321" s="8"/>
      <c r="P321" s="8"/>
      <c r="Q321" s="8"/>
      <c r="R321" s="8"/>
    </row>
    <row r="322" ht="15.75" customHeight="1">
      <c r="A322" s="543"/>
      <c r="B322" s="8"/>
      <c r="C322" s="8"/>
      <c r="D322" s="8"/>
      <c r="E322" s="8"/>
      <c r="F322" s="544"/>
      <c r="G322" s="8"/>
      <c r="H322" s="8"/>
      <c r="I322" s="543"/>
      <c r="J322" s="8"/>
      <c r="K322" s="8"/>
      <c r="L322" s="8"/>
      <c r="M322" s="8"/>
      <c r="N322" s="115"/>
      <c r="O322" s="8"/>
      <c r="P322" s="8"/>
      <c r="Q322" s="8"/>
      <c r="R322" s="8"/>
    </row>
    <row r="323" ht="15.75" customHeight="1">
      <c r="A323" s="543"/>
      <c r="B323" s="8"/>
      <c r="C323" s="8"/>
      <c r="D323" s="8"/>
      <c r="E323" s="8"/>
      <c r="F323" s="544"/>
      <c r="G323" s="8"/>
      <c r="H323" s="8"/>
      <c r="I323" s="543"/>
      <c r="J323" s="8"/>
      <c r="K323" s="8"/>
      <c r="L323" s="8"/>
      <c r="M323" s="8"/>
      <c r="N323" s="115"/>
      <c r="O323" s="8"/>
      <c r="P323" s="8"/>
      <c r="Q323" s="8"/>
      <c r="R323" s="8"/>
    </row>
    <row r="324" ht="15.75" customHeight="1">
      <c r="A324" s="543"/>
      <c r="B324" s="8"/>
      <c r="C324" s="8"/>
      <c r="D324" s="8"/>
      <c r="E324" s="8"/>
      <c r="F324" s="544"/>
      <c r="G324" s="8"/>
      <c r="H324" s="8"/>
      <c r="I324" s="543"/>
      <c r="J324" s="8"/>
      <c r="K324" s="8"/>
      <c r="L324" s="8"/>
      <c r="M324" s="8"/>
      <c r="N324" s="115"/>
      <c r="O324" s="8"/>
      <c r="P324" s="8"/>
      <c r="Q324" s="8"/>
      <c r="R324" s="8"/>
    </row>
    <row r="325" ht="15.75" customHeight="1">
      <c r="A325" s="543"/>
      <c r="B325" s="8"/>
      <c r="C325" s="8"/>
      <c r="D325" s="8"/>
      <c r="E325" s="8"/>
      <c r="F325" s="544"/>
      <c r="G325" s="8"/>
      <c r="H325" s="8"/>
      <c r="I325" s="543"/>
      <c r="J325" s="8"/>
      <c r="K325" s="8"/>
      <c r="L325" s="8"/>
      <c r="M325" s="8"/>
      <c r="N325" s="115" t="s">
        <v>113</v>
      </c>
      <c r="O325" s="8"/>
      <c r="P325" s="8"/>
      <c r="Q325" s="8"/>
      <c r="R325" s="8"/>
    </row>
    <row r="326" ht="15.75" customHeight="1">
      <c r="A326" s="543"/>
      <c r="B326" s="8"/>
      <c r="C326" s="8"/>
      <c r="D326" s="8"/>
      <c r="E326" s="8"/>
      <c r="F326" s="544"/>
      <c r="G326" s="8"/>
      <c r="H326" s="8"/>
      <c r="I326" s="543"/>
      <c r="J326" s="8"/>
      <c r="K326" s="8"/>
      <c r="L326" s="8"/>
      <c r="M326" s="8"/>
      <c r="N326" s="115" t="s">
        <v>113</v>
      </c>
      <c r="O326" s="8"/>
      <c r="P326" s="8"/>
      <c r="Q326" s="8"/>
      <c r="R326" s="8"/>
    </row>
    <row r="327" ht="15.75" customHeight="1">
      <c r="A327" s="543"/>
      <c r="B327" s="8"/>
      <c r="C327" s="8"/>
      <c r="D327" s="8"/>
      <c r="E327" s="8"/>
      <c r="F327" s="544"/>
      <c r="G327" s="8"/>
      <c r="H327" s="8"/>
      <c r="I327" s="543"/>
      <c r="J327" s="8"/>
      <c r="K327" s="8"/>
      <c r="L327" s="8"/>
      <c r="M327" s="8"/>
      <c r="N327" s="115" t="s">
        <v>113</v>
      </c>
      <c r="O327" s="8"/>
      <c r="P327" s="8"/>
      <c r="Q327" s="8"/>
      <c r="R327" s="8"/>
    </row>
    <row r="328" ht="15.75" customHeight="1">
      <c r="A328" s="543"/>
      <c r="B328" s="8"/>
      <c r="C328" s="8"/>
      <c r="D328" s="8"/>
      <c r="E328" s="8"/>
      <c r="F328" s="544"/>
      <c r="G328" s="8"/>
      <c r="H328" s="8"/>
      <c r="I328" s="543"/>
      <c r="J328" s="8"/>
      <c r="K328" s="8"/>
      <c r="L328" s="8"/>
      <c r="M328" s="8"/>
      <c r="N328" s="115" t="s">
        <v>113</v>
      </c>
      <c r="O328" s="8"/>
      <c r="P328" s="8"/>
      <c r="Q328" s="8"/>
      <c r="R328" s="8"/>
    </row>
    <row r="329" ht="15.75" customHeight="1">
      <c r="A329" s="543"/>
      <c r="B329" s="8"/>
      <c r="C329" s="8"/>
      <c r="D329" s="8"/>
      <c r="E329" s="8"/>
      <c r="F329" s="544"/>
      <c r="G329" s="8"/>
      <c r="H329" s="8"/>
      <c r="I329" s="543"/>
      <c r="J329" s="8"/>
      <c r="K329" s="8"/>
      <c r="L329" s="8"/>
      <c r="M329" s="8"/>
      <c r="N329" s="115" t="s">
        <v>113</v>
      </c>
      <c r="O329" s="8"/>
      <c r="P329" s="8"/>
      <c r="Q329" s="8"/>
      <c r="R329" s="8"/>
    </row>
    <row r="330" ht="15.75" customHeight="1">
      <c r="A330" s="543"/>
      <c r="B330" s="8"/>
      <c r="C330" s="8"/>
      <c r="D330" s="8"/>
      <c r="E330" s="8"/>
      <c r="F330" s="544"/>
      <c r="G330" s="8"/>
      <c r="H330" s="8"/>
      <c r="I330" s="543"/>
      <c r="J330" s="8"/>
      <c r="K330" s="8"/>
      <c r="L330" s="8"/>
      <c r="M330" s="8"/>
      <c r="N330" s="115" t="s">
        <v>113</v>
      </c>
      <c r="O330" s="8"/>
      <c r="P330" s="8"/>
      <c r="Q330" s="8"/>
      <c r="R330" s="8"/>
    </row>
    <row r="331" ht="15.75" customHeight="1">
      <c r="A331" s="543"/>
      <c r="B331" s="8"/>
      <c r="C331" s="8"/>
      <c r="D331" s="8"/>
      <c r="E331" s="8"/>
      <c r="F331" s="544"/>
      <c r="G331" s="8"/>
      <c r="H331" s="8"/>
      <c r="I331" s="543"/>
      <c r="J331" s="8"/>
      <c r="K331" s="8"/>
      <c r="L331" s="8"/>
      <c r="M331" s="8"/>
      <c r="N331" s="115" t="s">
        <v>113</v>
      </c>
      <c r="O331" s="8"/>
      <c r="P331" s="8"/>
      <c r="Q331" s="8"/>
      <c r="R331" s="8"/>
    </row>
    <row r="332" ht="15.75" customHeight="1">
      <c r="A332" s="543"/>
      <c r="B332" s="8"/>
      <c r="C332" s="8"/>
      <c r="D332" s="8"/>
      <c r="E332" s="8"/>
      <c r="F332" s="544"/>
      <c r="G332" s="8"/>
      <c r="H332" s="8"/>
      <c r="I332" s="543"/>
      <c r="J332" s="8"/>
      <c r="K332" s="8"/>
      <c r="L332" s="8"/>
      <c r="M332" s="8"/>
      <c r="N332" s="115" t="s">
        <v>113</v>
      </c>
      <c r="O332" s="8"/>
      <c r="P332" s="8"/>
      <c r="Q332" s="8"/>
      <c r="R332" s="8"/>
    </row>
    <row r="333" ht="15.75" customHeight="1">
      <c r="A333" s="543"/>
      <c r="B333" s="8"/>
      <c r="C333" s="8"/>
      <c r="D333" s="8"/>
      <c r="E333" s="8"/>
      <c r="F333" s="544"/>
      <c r="G333" s="8"/>
      <c r="H333" s="8"/>
      <c r="I333" s="543"/>
      <c r="J333" s="8"/>
      <c r="K333" s="8"/>
      <c r="L333" s="8"/>
      <c r="M333" s="8"/>
      <c r="N333" s="115" t="s">
        <v>113</v>
      </c>
      <c r="O333" s="8"/>
      <c r="P333" s="8"/>
      <c r="Q333" s="8"/>
      <c r="R333" s="8"/>
    </row>
    <row r="334" ht="15.75" customHeight="1">
      <c r="A334" s="543"/>
      <c r="B334" s="8"/>
      <c r="C334" s="8"/>
      <c r="D334" s="8"/>
      <c r="E334" s="8"/>
      <c r="F334" s="544"/>
      <c r="G334" s="8"/>
      <c r="H334" s="8"/>
      <c r="I334" s="543"/>
      <c r="J334" s="8"/>
      <c r="K334" s="8"/>
      <c r="L334" s="8"/>
      <c r="M334" s="8"/>
      <c r="N334" s="115" t="s">
        <v>113</v>
      </c>
      <c r="O334" s="8"/>
      <c r="P334" s="8"/>
      <c r="Q334" s="8"/>
      <c r="R334" s="8"/>
    </row>
    <row r="335" ht="15.75" customHeight="1">
      <c r="A335" s="543"/>
      <c r="B335" s="8"/>
      <c r="C335" s="8"/>
      <c r="D335" s="8"/>
      <c r="E335" s="8"/>
      <c r="F335" s="544"/>
      <c r="G335" s="8"/>
      <c r="H335" s="8"/>
      <c r="I335" s="543"/>
      <c r="J335" s="8"/>
      <c r="K335" s="8"/>
      <c r="L335" s="8"/>
      <c r="M335" s="8"/>
      <c r="N335" s="115" t="s">
        <v>113</v>
      </c>
      <c r="O335" s="8"/>
      <c r="P335" s="8"/>
      <c r="Q335" s="8"/>
      <c r="R335" s="8"/>
    </row>
    <row r="336" ht="15.75" customHeight="1">
      <c r="A336" s="543"/>
      <c r="B336" s="8"/>
      <c r="C336" s="8"/>
      <c r="D336" s="8"/>
      <c r="E336" s="8"/>
      <c r="F336" s="544"/>
      <c r="G336" s="8"/>
      <c r="H336" s="8"/>
      <c r="I336" s="543"/>
      <c r="J336" s="8"/>
      <c r="K336" s="8"/>
      <c r="L336" s="8"/>
      <c r="M336" s="8"/>
      <c r="N336" s="115" t="s">
        <v>113</v>
      </c>
      <c r="O336" s="8"/>
      <c r="P336" s="8"/>
      <c r="Q336" s="8"/>
      <c r="R336" s="8"/>
    </row>
    <row r="337" ht="15.75" customHeight="1">
      <c r="A337" s="543"/>
      <c r="B337" s="8"/>
      <c r="C337" s="8"/>
      <c r="D337" s="8"/>
      <c r="E337" s="8"/>
      <c r="F337" s="544"/>
      <c r="G337" s="8"/>
      <c r="H337" s="8"/>
      <c r="I337" s="543"/>
      <c r="J337" s="8"/>
      <c r="K337" s="8"/>
      <c r="L337" s="8"/>
      <c r="M337" s="8"/>
      <c r="N337" s="115" t="s">
        <v>113</v>
      </c>
      <c r="O337" s="8"/>
      <c r="P337" s="8"/>
      <c r="Q337" s="8"/>
      <c r="R337" s="8"/>
    </row>
    <row r="338" ht="15.75" customHeight="1">
      <c r="A338" s="543"/>
      <c r="B338" s="8"/>
      <c r="C338" s="8"/>
      <c r="D338" s="8"/>
      <c r="E338" s="8"/>
      <c r="F338" s="544"/>
      <c r="G338" s="8"/>
      <c r="H338" s="8"/>
      <c r="I338" s="543"/>
      <c r="J338" s="8"/>
      <c r="K338" s="8"/>
      <c r="L338" s="8"/>
      <c r="M338" s="8"/>
      <c r="N338" s="115" t="s">
        <v>113</v>
      </c>
      <c r="O338" s="8"/>
      <c r="P338" s="8"/>
      <c r="Q338" s="8"/>
      <c r="R338" s="8"/>
    </row>
    <row r="339" ht="15.75" customHeight="1">
      <c r="A339" s="543"/>
      <c r="B339" s="8"/>
      <c r="C339" s="8"/>
      <c r="D339" s="8"/>
      <c r="E339" s="8"/>
      <c r="F339" s="544"/>
      <c r="G339" s="8"/>
      <c r="H339" s="8"/>
      <c r="I339" s="543"/>
      <c r="J339" s="8"/>
      <c r="K339" s="8"/>
      <c r="L339" s="8"/>
      <c r="M339" s="8"/>
      <c r="N339" s="115" t="s">
        <v>113</v>
      </c>
      <c r="O339" s="8"/>
      <c r="P339" s="8"/>
      <c r="Q339" s="8"/>
      <c r="R339" s="8"/>
    </row>
    <row r="340" ht="15.75" customHeight="1">
      <c r="A340" s="543"/>
      <c r="B340" s="8"/>
      <c r="C340" s="8"/>
      <c r="D340" s="8"/>
      <c r="E340" s="8"/>
      <c r="F340" s="544"/>
      <c r="G340" s="8"/>
      <c r="H340" s="8"/>
      <c r="I340" s="543"/>
      <c r="J340" s="8"/>
      <c r="K340" s="8"/>
      <c r="L340" s="8"/>
      <c r="M340" s="8"/>
      <c r="N340" s="115" t="s">
        <v>113</v>
      </c>
      <c r="O340" s="8"/>
      <c r="P340" s="8"/>
      <c r="Q340" s="8"/>
      <c r="R340" s="8"/>
    </row>
    <row r="341" ht="15.75" customHeight="1">
      <c r="A341" s="543"/>
      <c r="B341" s="8"/>
      <c r="C341" s="8"/>
      <c r="D341" s="8"/>
      <c r="E341" s="8"/>
      <c r="F341" s="544"/>
      <c r="G341" s="8"/>
      <c r="H341" s="8"/>
      <c r="I341" s="543"/>
      <c r="J341" s="8"/>
      <c r="K341" s="8"/>
      <c r="L341" s="8"/>
      <c r="M341" s="8"/>
      <c r="N341" s="115" t="s">
        <v>113</v>
      </c>
      <c r="O341" s="8"/>
      <c r="P341" s="8"/>
      <c r="Q341" s="8"/>
      <c r="R341" s="8"/>
    </row>
    <row r="342" ht="15.75" customHeight="1">
      <c r="A342" s="543"/>
      <c r="B342" s="8"/>
      <c r="C342" s="8"/>
      <c r="D342" s="8"/>
      <c r="E342" s="8"/>
      <c r="F342" s="544"/>
      <c r="G342" s="8"/>
      <c r="H342" s="8"/>
      <c r="I342" s="543"/>
      <c r="J342" s="8"/>
      <c r="K342" s="8"/>
      <c r="L342" s="8"/>
      <c r="M342" s="8"/>
      <c r="N342" s="115" t="s">
        <v>113</v>
      </c>
      <c r="O342" s="8"/>
      <c r="P342" s="8"/>
      <c r="Q342" s="8"/>
      <c r="R342" s="8"/>
    </row>
    <row r="343" ht="15.75" customHeight="1">
      <c r="A343" s="543"/>
      <c r="B343" s="8"/>
      <c r="C343" s="8"/>
      <c r="D343" s="8"/>
      <c r="E343" s="8"/>
      <c r="F343" s="544"/>
      <c r="G343" s="8"/>
      <c r="H343" s="8"/>
      <c r="I343" s="543"/>
      <c r="J343" s="8"/>
      <c r="K343" s="8"/>
      <c r="L343" s="8"/>
      <c r="M343" s="8"/>
      <c r="N343" s="115" t="s">
        <v>113</v>
      </c>
      <c r="O343" s="8"/>
      <c r="P343" s="8"/>
      <c r="Q343" s="8"/>
      <c r="R343" s="8"/>
    </row>
    <row r="344" ht="15.75" customHeight="1">
      <c r="A344" s="543"/>
      <c r="B344" s="8"/>
      <c r="C344" s="8"/>
      <c r="D344" s="8"/>
      <c r="E344" s="8"/>
      <c r="F344" s="544"/>
      <c r="G344" s="8"/>
      <c r="H344" s="8"/>
      <c r="I344" s="543"/>
      <c r="J344" s="8"/>
      <c r="K344" s="8"/>
      <c r="L344" s="8"/>
      <c r="M344" s="8"/>
      <c r="N344" s="115" t="s">
        <v>113</v>
      </c>
      <c r="O344" s="8"/>
      <c r="P344" s="8"/>
      <c r="Q344" s="8"/>
      <c r="R344" s="8"/>
    </row>
    <row r="345" ht="15.75" customHeight="1">
      <c r="A345" s="543"/>
      <c r="B345" s="8"/>
      <c r="C345" s="8"/>
      <c r="D345" s="8"/>
      <c r="E345" s="8"/>
      <c r="F345" s="544"/>
      <c r="G345" s="8"/>
      <c r="H345" s="8"/>
      <c r="I345" s="543"/>
      <c r="J345" s="8"/>
      <c r="K345" s="8"/>
      <c r="L345" s="8"/>
      <c r="M345" s="8"/>
      <c r="N345" s="115" t="s">
        <v>113</v>
      </c>
      <c r="O345" s="8"/>
      <c r="P345" s="8"/>
      <c r="Q345" s="8"/>
      <c r="R345" s="8"/>
    </row>
    <row r="346" ht="15.75" customHeight="1">
      <c r="A346" s="545"/>
      <c r="F346" s="546"/>
      <c r="I346" s="545"/>
      <c r="N346" s="115" t="s">
        <v>113</v>
      </c>
    </row>
    <row r="347" ht="15.75" customHeight="1">
      <c r="A347" s="545"/>
      <c r="F347" s="546"/>
      <c r="I347" s="545"/>
      <c r="N347" s="115" t="s">
        <v>113</v>
      </c>
    </row>
    <row r="348" ht="15.75" customHeight="1">
      <c r="A348" s="545"/>
      <c r="F348" s="546"/>
      <c r="I348" s="545"/>
      <c r="N348" s="115" t="s">
        <v>113</v>
      </c>
    </row>
    <row r="349" ht="15.75" customHeight="1">
      <c r="A349" s="545"/>
      <c r="F349" s="546"/>
      <c r="I349" s="545"/>
      <c r="N349" s="115" t="s">
        <v>113</v>
      </c>
    </row>
    <row r="350" ht="15.75" customHeight="1">
      <c r="A350" s="545"/>
      <c r="F350" s="546"/>
      <c r="I350" s="545"/>
      <c r="N350" s="115" t="s">
        <v>113</v>
      </c>
    </row>
    <row r="351" ht="15.75" customHeight="1">
      <c r="A351" s="545"/>
      <c r="F351" s="546"/>
      <c r="I351" s="545"/>
      <c r="N351" s="115" t="s">
        <v>113</v>
      </c>
    </row>
    <row r="352" ht="15.75" customHeight="1">
      <c r="A352" s="545"/>
      <c r="F352" s="546"/>
      <c r="I352" s="545"/>
      <c r="N352" s="115" t="s">
        <v>113</v>
      </c>
    </row>
    <row r="353" ht="15.75" customHeight="1">
      <c r="A353" s="545"/>
      <c r="F353" s="546"/>
      <c r="I353" s="545"/>
      <c r="N353" s="115" t="s">
        <v>113</v>
      </c>
    </row>
    <row r="354" ht="15.75" customHeight="1">
      <c r="A354" s="545"/>
      <c r="F354" s="546"/>
      <c r="I354" s="545"/>
      <c r="N354" s="115" t="s">
        <v>113</v>
      </c>
    </row>
    <row r="355" ht="15.75" customHeight="1">
      <c r="A355" s="545"/>
      <c r="F355" s="546"/>
      <c r="I355" s="545"/>
      <c r="N355" s="115" t="s">
        <v>113</v>
      </c>
    </row>
    <row r="356" ht="15.75" customHeight="1">
      <c r="A356" s="545"/>
      <c r="F356" s="546"/>
      <c r="I356" s="545"/>
      <c r="N356" s="115" t="s">
        <v>113</v>
      </c>
    </row>
    <row r="357" ht="15.75" customHeight="1">
      <c r="A357" s="545"/>
      <c r="F357" s="546"/>
      <c r="I357" s="545"/>
      <c r="N357" s="115" t="s">
        <v>113</v>
      </c>
    </row>
    <row r="358" ht="15.75" customHeight="1">
      <c r="A358" s="545"/>
      <c r="F358" s="546"/>
      <c r="I358" s="545"/>
      <c r="N358" s="115" t="s">
        <v>113</v>
      </c>
    </row>
    <row r="359" ht="15.75" customHeight="1">
      <c r="A359" s="545"/>
      <c r="F359" s="546"/>
      <c r="I359" s="545"/>
      <c r="N359" s="115" t="s">
        <v>113</v>
      </c>
    </row>
    <row r="360" ht="15.75" customHeight="1">
      <c r="A360" s="545"/>
      <c r="F360" s="546"/>
      <c r="I360" s="545"/>
      <c r="N360" s="115" t="s">
        <v>113</v>
      </c>
    </row>
    <row r="361" ht="15.75" customHeight="1">
      <c r="A361" s="545"/>
      <c r="F361" s="546"/>
      <c r="I361" s="545"/>
      <c r="N361" s="115" t="s">
        <v>113</v>
      </c>
    </row>
    <row r="362" ht="15.75" customHeight="1">
      <c r="A362" s="545"/>
      <c r="F362" s="546"/>
      <c r="I362" s="545"/>
      <c r="N362" s="115" t="s">
        <v>113</v>
      </c>
    </row>
    <row r="363" ht="15.75" customHeight="1">
      <c r="A363" s="545"/>
      <c r="F363" s="546"/>
      <c r="I363" s="545"/>
      <c r="N363" s="115" t="s">
        <v>113</v>
      </c>
    </row>
    <row r="364" ht="15.75" customHeight="1">
      <c r="A364" s="545"/>
      <c r="F364" s="546"/>
      <c r="I364" s="545"/>
      <c r="N364" s="115" t="s">
        <v>113</v>
      </c>
    </row>
    <row r="365" ht="15.75" customHeight="1">
      <c r="A365" s="545"/>
      <c r="F365" s="546"/>
      <c r="I365" s="545"/>
      <c r="N365" s="115" t="s">
        <v>113</v>
      </c>
    </row>
    <row r="366" ht="15.75" customHeight="1">
      <c r="A366" s="545"/>
      <c r="F366" s="546"/>
      <c r="I366" s="545"/>
      <c r="N366" s="115" t="s">
        <v>113</v>
      </c>
    </row>
    <row r="367" ht="15.75" customHeight="1">
      <c r="A367" s="545"/>
      <c r="F367" s="546"/>
      <c r="I367" s="545"/>
      <c r="N367" s="115" t="s">
        <v>113</v>
      </c>
    </row>
    <row r="368" ht="15.75" customHeight="1">
      <c r="A368" s="545"/>
      <c r="F368" s="546"/>
      <c r="I368" s="545"/>
      <c r="N368" s="115" t="s">
        <v>113</v>
      </c>
    </row>
    <row r="369" ht="15.75" customHeight="1">
      <c r="A369" s="545"/>
      <c r="F369" s="546"/>
      <c r="I369" s="545"/>
      <c r="N369" s="115" t="s">
        <v>113</v>
      </c>
    </row>
    <row r="370" ht="15.75" customHeight="1">
      <c r="A370" s="545"/>
      <c r="F370" s="546"/>
      <c r="I370" s="545"/>
      <c r="N370" s="115" t="s">
        <v>113</v>
      </c>
    </row>
    <row r="371" ht="15.75" customHeight="1">
      <c r="A371" s="545"/>
      <c r="F371" s="546"/>
      <c r="I371" s="545"/>
      <c r="N371" s="115" t="s">
        <v>113</v>
      </c>
    </row>
    <row r="372" ht="15.75" customHeight="1">
      <c r="A372" s="545"/>
      <c r="F372" s="546"/>
      <c r="I372" s="545"/>
      <c r="N372" s="115" t="s">
        <v>113</v>
      </c>
    </row>
    <row r="373" ht="15.75" customHeight="1">
      <c r="A373" s="545"/>
      <c r="F373" s="546"/>
      <c r="I373" s="545"/>
      <c r="N373" s="115" t="s">
        <v>113</v>
      </c>
    </row>
    <row r="374" ht="15.75" customHeight="1">
      <c r="A374" s="545"/>
      <c r="F374" s="546"/>
      <c r="I374" s="545"/>
      <c r="N374" s="115" t="s">
        <v>113</v>
      </c>
    </row>
    <row r="375" ht="15.75" customHeight="1">
      <c r="A375" s="545"/>
      <c r="F375" s="546"/>
      <c r="I375" s="545"/>
      <c r="N375" s="115" t="s">
        <v>113</v>
      </c>
    </row>
    <row r="376" ht="15.75" customHeight="1">
      <c r="A376" s="545"/>
      <c r="F376" s="546"/>
      <c r="I376" s="545"/>
      <c r="N376" s="115" t="s">
        <v>113</v>
      </c>
    </row>
    <row r="377" ht="15.75" customHeight="1">
      <c r="A377" s="545"/>
      <c r="F377" s="546"/>
      <c r="I377" s="545"/>
      <c r="N377" s="115" t="s">
        <v>113</v>
      </c>
    </row>
    <row r="378" ht="15.75" customHeight="1">
      <c r="A378" s="545"/>
      <c r="F378" s="546"/>
      <c r="I378" s="545"/>
      <c r="N378" s="115" t="s">
        <v>113</v>
      </c>
    </row>
    <row r="379" ht="15.75" customHeight="1">
      <c r="A379" s="545"/>
      <c r="F379" s="546"/>
      <c r="I379" s="545"/>
      <c r="N379" s="115" t="s">
        <v>113</v>
      </c>
    </row>
    <row r="380" ht="15.75" customHeight="1">
      <c r="A380" s="545"/>
      <c r="F380" s="546"/>
      <c r="I380" s="545"/>
      <c r="N380" s="115" t="s">
        <v>113</v>
      </c>
    </row>
    <row r="381" ht="15.75" customHeight="1">
      <c r="A381" s="545"/>
      <c r="F381" s="546"/>
      <c r="I381" s="545"/>
      <c r="N381" s="115" t="s">
        <v>113</v>
      </c>
    </row>
    <row r="382" ht="15.75" customHeight="1">
      <c r="A382" s="545"/>
      <c r="F382" s="546"/>
      <c r="I382" s="545"/>
      <c r="N382" s="115" t="s">
        <v>113</v>
      </c>
    </row>
    <row r="383" ht="15.75" customHeight="1">
      <c r="A383" s="545"/>
      <c r="F383" s="546"/>
      <c r="I383" s="545"/>
      <c r="N383" s="115" t="s">
        <v>113</v>
      </c>
    </row>
    <row r="384" ht="15.75" customHeight="1">
      <c r="A384" s="545"/>
      <c r="F384" s="546"/>
      <c r="I384" s="545"/>
      <c r="N384" s="115" t="s">
        <v>113</v>
      </c>
    </row>
    <row r="385" ht="15.75" customHeight="1">
      <c r="A385" s="545"/>
      <c r="F385" s="546"/>
      <c r="I385" s="545"/>
      <c r="N385" s="115" t="s">
        <v>113</v>
      </c>
    </row>
    <row r="386" ht="15.75" customHeight="1">
      <c r="A386" s="545"/>
      <c r="F386" s="546"/>
      <c r="I386" s="545"/>
      <c r="N386" s="115" t="s">
        <v>113</v>
      </c>
    </row>
    <row r="387" ht="15.75" customHeight="1">
      <c r="A387" s="545"/>
      <c r="F387" s="546"/>
      <c r="I387" s="545"/>
      <c r="N387" s="115" t="s">
        <v>113</v>
      </c>
    </row>
    <row r="388" ht="15.75" customHeight="1">
      <c r="A388" s="545"/>
      <c r="F388" s="546"/>
      <c r="I388" s="545"/>
      <c r="N388" s="115" t="s">
        <v>113</v>
      </c>
    </row>
    <row r="389" ht="15.75" customHeight="1">
      <c r="A389" s="545"/>
      <c r="F389" s="546"/>
      <c r="I389" s="545"/>
      <c r="N389" s="115" t="s">
        <v>113</v>
      </c>
    </row>
    <row r="390" ht="15.75" customHeight="1">
      <c r="A390" s="545"/>
      <c r="F390" s="546"/>
      <c r="I390" s="545"/>
      <c r="N390" s="115" t="s">
        <v>113</v>
      </c>
    </row>
    <row r="391" ht="15.75" customHeight="1">
      <c r="A391" s="545"/>
      <c r="F391" s="546"/>
      <c r="I391" s="545"/>
      <c r="N391" s="115" t="s">
        <v>113</v>
      </c>
    </row>
    <row r="392" ht="15.75" customHeight="1">
      <c r="A392" s="545"/>
      <c r="F392" s="546"/>
      <c r="I392" s="545"/>
      <c r="N392" s="115" t="s">
        <v>113</v>
      </c>
    </row>
    <row r="393" ht="15.75" customHeight="1">
      <c r="A393" s="545"/>
      <c r="F393" s="546"/>
      <c r="I393" s="545"/>
      <c r="N393" s="115" t="s">
        <v>113</v>
      </c>
    </row>
    <row r="394" ht="15.75" customHeight="1">
      <c r="A394" s="545"/>
      <c r="F394" s="546"/>
      <c r="I394" s="545"/>
      <c r="N394" s="115" t="s">
        <v>113</v>
      </c>
    </row>
    <row r="395" ht="15.75" customHeight="1">
      <c r="A395" s="545"/>
      <c r="F395" s="546"/>
      <c r="I395" s="545"/>
      <c r="N395" s="115" t="s">
        <v>113</v>
      </c>
    </row>
    <row r="396" ht="15.75" customHeight="1">
      <c r="A396" s="545"/>
      <c r="F396" s="546"/>
      <c r="I396" s="545"/>
      <c r="N396" s="115" t="s">
        <v>113</v>
      </c>
    </row>
    <row r="397" ht="15.75" customHeight="1">
      <c r="A397" s="545"/>
      <c r="F397" s="546"/>
      <c r="I397" s="545"/>
      <c r="N397" s="115" t="s">
        <v>113</v>
      </c>
    </row>
    <row r="398" ht="15.75" customHeight="1">
      <c r="A398" s="545"/>
      <c r="F398" s="546"/>
      <c r="I398" s="545"/>
      <c r="N398" s="115" t="s">
        <v>113</v>
      </c>
    </row>
    <row r="399" ht="15.75" customHeight="1">
      <c r="A399" s="545"/>
      <c r="F399" s="546"/>
      <c r="I399" s="545"/>
      <c r="N399" s="115" t="s">
        <v>113</v>
      </c>
    </row>
    <row r="400" ht="15.75" customHeight="1">
      <c r="A400" s="545"/>
      <c r="F400" s="546"/>
      <c r="I400" s="545"/>
      <c r="N400" s="115" t="s">
        <v>113</v>
      </c>
    </row>
    <row r="401" ht="15.75" customHeight="1">
      <c r="A401" s="545"/>
      <c r="F401" s="546"/>
      <c r="I401" s="545"/>
      <c r="N401" s="115" t="s">
        <v>113</v>
      </c>
    </row>
    <row r="402" ht="15.75" customHeight="1">
      <c r="A402" s="545"/>
      <c r="F402" s="546"/>
      <c r="I402" s="545"/>
      <c r="N402" s="115" t="s">
        <v>113</v>
      </c>
    </row>
    <row r="403" ht="15.75" customHeight="1">
      <c r="A403" s="545"/>
      <c r="F403" s="546"/>
      <c r="I403" s="545"/>
      <c r="N403" s="115" t="s">
        <v>113</v>
      </c>
    </row>
    <row r="404" ht="15.75" customHeight="1">
      <c r="A404" s="545"/>
      <c r="F404" s="546"/>
      <c r="I404" s="545"/>
      <c r="N404" s="115" t="s">
        <v>113</v>
      </c>
    </row>
    <row r="405" ht="15.75" customHeight="1">
      <c r="A405" s="545"/>
      <c r="F405" s="546"/>
      <c r="I405" s="545"/>
      <c r="N405" s="115" t="s">
        <v>113</v>
      </c>
    </row>
    <row r="406" ht="15.75" customHeight="1">
      <c r="A406" s="545"/>
      <c r="F406" s="546"/>
      <c r="I406" s="545"/>
      <c r="N406" s="115" t="s">
        <v>113</v>
      </c>
    </row>
    <row r="407" ht="15.75" customHeight="1">
      <c r="A407" s="545"/>
      <c r="F407" s="546"/>
      <c r="I407" s="545"/>
      <c r="N407" s="115" t="s">
        <v>113</v>
      </c>
    </row>
    <row r="408" ht="15.75" customHeight="1">
      <c r="A408" s="545"/>
      <c r="F408" s="546"/>
      <c r="I408" s="545"/>
      <c r="N408" s="115" t="s">
        <v>113</v>
      </c>
    </row>
    <row r="409" ht="15.75" customHeight="1">
      <c r="A409" s="545"/>
      <c r="F409" s="546"/>
      <c r="I409" s="545"/>
      <c r="N409" s="115" t="s">
        <v>113</v>
      </c>
    </row>
    <row r="410" ht="15.75" customHeight="1">
      <c r="A410" s="545"/>
      <c r="F410" s="546"/>
      <c r="I410" s="545"/>
      <c r="N410" s="115" t="s">
        <v>113</v>
      </c>
    </row>
    <row r="411" ht="15.75" customHeight="1">
      <c r="A411" s="545"/>
      <c r="F411" s="546"/>
      <c r="I411" s="545"/>
      <c r="N411" s="115" t="s">
        <v>113</v>
      </c>
    </row>
    <row r="412" ht="15.75" customHeight="1">
      <c r="A412" s="545"/>
      <c r="F412" s="546"/>
      <c r="I412" s="545"/>
      <c r="N412" s="115" t="s">
        <v>113</v>
      </c>
    </row>
    <row r="413" ht="15.75" customHeight="1">
      <c r="A413" s="545"/>
      <c r="F413" s="546"/>
      <c r="I413" s="545"/>
      <c r="N413" s="115" t="s">
        <v>113</v>
      </c>
    </row>
    <row r="414" ht="15.75" customHeight="1">
      <c r="A414" s="545"/>
      <c r="F414" s="546"/>
      <c r="I414" s="545"/>
      <c r="N414" s="115" t="s">
        <v>113</v>
      </c>
    </row>
    <row r="415" ht="15.75" customHeight="1">
      <c r="A415" s="545"/>
      <c r="F415" s="546"/>
      <c r="I415" s="545"/>
      <c r="N415" s="115" t="s">
        <v>113</v>
      </c>
    </row>
    <row r="416" ht="15.75" customHeight="1">
      <c r="A416" s="545"/>
      <c r="F416" s="546"/>
      <c r="I416" s="545"/>
      <c r="N416" s="115" t="s">
        <v>113</v>
      </c>
    </row>
    <row r="417" ht="15.75" customHeight="1">
      <c r="A417" s="545"/>
      <c r="F417" s="546"/>
      <c r="I417" s="545"/>
      <c r="N417" s="115" t="s">
        <v>113</v>
      </c>
    </row>
    <row r="418" ht="15.75" customHeight="1">
      <c r="A418" s="545"/>
      <c r="F418" s="546"/>
      <c r="I418" s="545"/>
      <c r="N418" s="115" t="s">
        <v>113</v>
      </c>
    </row>
    <row r="419" ht="15.75" customHeight="1">
      <c r="A419" s="545"/>
      <c r="F419" s="546"/>
      <c r="I419" s="545"/>
      <c r="N419" s="115" t="s">
        <v>113</v>
      </c>
    </row>
    <row r="420" ht="15.75" customHeight="1">
      <c r="A420" s="545"/>
      <c r="F420" s="546"/>
      <c r="I420" s="545"/>
      <c r="N420" s="115" t="s">
        <v>113</v>
      </c>
    </row>
    <row r="421" ht="15.75" customHeight="1">
      <c r="A421" s="545"/>
      <c r="F421" s="546"/>
      <c r="I421" s="545"/>
      <c r="N421" s="115" t="s">
        <v>113</v>
      </c>
    </row>
    <row r="422" ht="15.75" customHeight="1">
      <c r="A422" s="545"/>
      <c r="F422" s="546"/>
      <c r="I422" s="545"/>
      <c r="N422" s="115" t="s">
        <v>113</v>
      </c>
    </row>
    <row r="423" ht="15.75" customHeight="1">
      <c r="A423" s="545"/>
      <c r="F423" s="546"/>
      <c r="I423" s="545"/>
      <c r="N423" s="115" t="s">
        <v>113</v>
      </c>
    </row>
    <row r="424" ht="15.75" customHeight="1">
      <c r="A424" s="545"/>
      <c r="F424" s="546"/>
      <c r="I424" s="545"/>
      <c r="N424" s="115" t="s">
        <v>113</v>
      </c>
    </row>
    <row r="425" ht="15.75" customHeight="1">
      <c r="A425" s="545"/>
      <c r="F425" s="546"/>
      <c r="I425" s="545"/>
      <c r="N425" s="115" t="s">
        <v>113</v>
      </c>
    </row>
    <row r="426" ht="15.75" customHeight="1">
      <c r="A426" s="545"/>
      <c r="F426" s="546"/>
      <c r="I426" s="545"/>
      <c r="N426" s="115" t="s">
        <v>113</v>
      </c>
    </row>
    <row r="427" ht="15.75" customHeight="1">
      <c r="A427" s="545"/>
      <c r="F427" s="546"/>
      <c r="I427" s="545"/>
      <c r="N427" s="115" t="s">
        <v>113</v>
      </c>
    </row>
    <row r="428" ht="15.75" customHeight="1">
      <c r="A428" s="545"/>
      <c r="F428" s="546"/>
      <c r="I428" s="545"/>
      <c r="N428" s="115" t="s">
        <v>113</v>
      </c>
    </row>
    <row r="429" ht="15.75" customHeight="1">
      <c r="A429" s="545"/>
      <c r="F429" s="546"/>
      <c r="I429" s="545"/>
      <c r="N429" s="115" t="s">
        <v>113</v>
      </c>
    </row>
    <row r="430" ht="15.75" customHeight="1">
      <c r="A430" s="545"/>
      <c r="F430" s="546"/>
      <c r="I430" s="545"/>
      <c r="N430" s="115" t="s">
        <v>113</v>
      </c>
    </row>
    <row r="431" ht="15.75" customHeight="1">
      <c r="A431" s="545"/>
      <c r="F431" s="546"/>
      <c r="I431" s="545"/>
      <c r="N431" s="115" t="s">
        <v>113</v>
      </c>
    </row>
    <row r="432" ht="15.75" customHeight="1">
      <c r="A432" s="545"/>
      <c r="F432" s="546"/>
      <c r="I432" s="545"/>
      <c r="N432" s="115" t="s">
        <v>113</v>
      </c>
    </row>
    <row r="433" ht="15.75" customHeight="1">
      <c r="A433" s="545"/>
      <c r="F433" s="546"/>
      <c r="I433" s="545"/>
      <c r="N433" s="115" t="s">
        <v>113</v>
      </c>
    </row>
    <row r="434" ht="15.75" customHeight="1">
      <c r="A434" s="545"/>
      <c r="F434" s="546"/>
      <c r="I434" s="545"/>
      <c r="N434" s="115" t="s">
        <v>113</v>
      </c>
    </row>
    <row r="435" ht="15.75" customHeight="1">
      <c r="A435" s="545"/>
      <c r="F435" s="546"/>
      <c r="I435" s="545"/>
      <c r="N435" s="115" t="s">
        <v>113</v>
      </c>
    </row>
    <row r="436" ht="15.75" customHeight="1">
      <c r="A436" s="545"/>
      <c r="F436" s="546"/>
      <c r="I436" s="545"/>
      <c r="N436" s="115" t="s">
        <v>113</v>
      </c>
    </row>
    <row r="437" ht="15.75" customHeight="1">
      <c r="A437" s="545"/>
      <c r="F437" s="546"/>
      <c r="I437" s="545"/>
      <c r="N437" s="115" t="s">
        <v>113</v>
      </c>
    </row>
    <row r="438" ht="15.75" customHeight="1">
      <c r="A438" s="545"/>
      <c r="F438" s="546"/>
      <c r="I438" s="545"/>
      <c r="N438" s="115" t="s">
        <v>113</v>
      </c>
    </row>
    <row r="439" ht="15.75" customHeight="1">
      <c r="A439" s="545"/>
      <c r="F439" s="546"/>
      <c r="I439" s="545"/>
      <c r="N439" s="115" t="s">
        <v>113</v>
      </c>
    </row>
    <row r="440" ht="15.75" customHeight="1">
      <c r="A440" s="545"/>
      <c r="F440" s="546"/>
      <c r="I440" s="545"/>
      <c r="N440" s="115" t="s">
        <v>113</v>
      </c>
    </row>
    <row r="441" ht="15.75" customHeight="1">
      <c r="A441" s="545"/>
      <c r="F441" s="546"/>
      <c r="I441" s="545"/>
      <c r="N441" s="115" t="s">
        <v>113</v>
      </c>
    </row>
    <row r="442" ht="15.75" customHeight="1">
      <c r="A442" s="545"/>
      <c r="F442" s="546"/>
      <c r="I442" s="545"/>
      <c r="N442" s="115" t="s">
        <v>113</v>
      </c>
    </row>
    <row r="443" ht="15.75" customHeight="1">
      <c r="A443" s="545"/>
      <c r="F443" s="546"/>
      <c r="I443" s="545"/>
      <c r="N443" s="115" t="s">
        <v>113</v>
      </c>
    </row>
    <row r="444" ht="15.75" customHeight="1">
      <c r="A444" s="545"/>
      <c r="F444" s="546"/>
      <c r="I444" s="545"/>
      <c r="N444" s="115" t="s">
        <v>113</v>
      </c>
    </row>
    <row r="445" ht="15.75" customHeight="1">
      <c r="A445" s="545"/>
      <c r="F445" s="546"/>
      <c r="I445" s="545"/>
      <c r="N445" s="115" t="s">
        <v>113</v>
      </c>
    </row>
    <row r="446" ht="15.75" customHeight="1">
      <c r="A446" s="545"/>
      <c r="F446" s="546"/>
      <c r="I446" s="545"/>
      <c r="N446" s="115" t="s">
        <v>113</v>
      </c>
    </row>
    <row r="447" ht="15.75" customHeight="1">
      <c r="A447" s="545"/>
      <c r="F447" s="546"/>
      <c r="I447" s="545"/>
      <c r="N447" s="115" t="s">
        <v>113</v>
      </c>
    </row>
    <row r="448" ht="15.75" customHeight="1">
      <c r="A448" s="545"/>
      <c r="F448" s="546"/>
      <c r="I448" s="545"/>
      <c r="N448" s="115" t="s">
        <v>113</v>
      </c>
    </row>
    <row r="449" ht="15.75" customHeight="1">
      <c r="A449" s="545"/>
      <c r="F449" s="546"/>
      <c r="I449" s="545"/>
      <c r="N449" s="115" t="s">
        <v>113</v>
      </c>
    </row>
    <row r="450" ht="15.75" customHeight="1">
      <c r="A450" s="545"/>
      <c r="F450" s="546"/>
      <c r="I450" s="545"/>
      <c r="N450" s="115" t="s">
        <v>113</v>
      </c>
    </row>
    <row r="451" ht="15.75" customHeight="1">
      <c r="A451" s="545"/>
      <c r="F451" s="546"/>
      <c r="I451" s="545"/>
      <c r="N451" s="115" t="s">
        <v>113</v>
      </c>
    </row>
    <row r="452" ht="15.75" customHeight="1">
      <c r="A452" s="545"/>
      <c r="F452" s="546"/>
      <c r="I452" s="545"/>
      <c r="N452" s="115" t="s">
        <v>113</v>
      </c>
    </row>
    <row r="453" ht="15.75" customHeight="1">
      <c r="A453" s="545"/>
      <c r="F453" s="546"/>
      <c r="I453" s="545"/>
      <c r="N453" s="115" t="s">
        <v>113</v>
      </c>
    </row>
    <row r="454" ht="15.75" customHeight="1">
      <c r="A454" s="545"/>
      <c r="F454" s="546"/>
      <c r="I454" s="545"/>
      <c r="N454" s="115" t="s">
        <v>113</v>
      </c>
    </row>
    <row r="455" ht="15.75" customHeight="1">
      <c r="A455" s="545"/>
      <c r="F455" s="546"/>
      <c r="I455" s="545"/>
      <c r="N455" s="115" t="s">
        <v>113</v>
      </c>
    </row>
    <row r="456" ht="15.75" customHeight="1">
      <c r="A456" s="545"/>
      <c r="F456" s="546"/>
      <c r="I456" s="545"/>
      <c r="N456" s="115" t="s">
        <v>113</v>
      </c>
    </row>
    <row r="457" ht="15.75" customHeight="1">
      <c r="A457" s="545"/>
      <c r="F457" s="546"/>
      <c r="I457" s="545"/>
      <c r="N457" s="115" t="s">
        <v>113</v>
      </c>
    </row>
    <row r="458" ht="15.75" customHeight="1">
      <c r="A458" s="545"/>
      <c r="F458" s="546"/>
      <c r="I458" s="545"/>
      <c r="N458" s="115" t="s">
        <v>113</v>
      </c>
    </row>
    <row r="459" ht="15.75" customHeight="1">
      <c r="A459" s="545"/>
      <c r="F459" s="546"/>
      <c r="I459" s="545"/>
      <c r="N459" s="115" t="s">
        <v>113</v>
      </c>
    </row>
    <row r="460" ht="15.75" customHeight="1">
      <c r="A460" s="545"/>
      <c r="F460" s="546"/>
      <c r="I460" s="545"/>
      <c r="N460" s="115" t="s">
        <v>113</v>
      </c>
    </row>
    <row r="461" ht="15.75" customHeight="1">
      <c r="A461" s="545"/>
      <c r="F461" s="546"/>
      <c r="I461" s="545"/>
      <c r="N461" s="115" t="s">
        <v>113</v>
      </c>
    </row>
    <row r="462" ht="15.75" customHeight="1">
      <c r="A462" s="545"/>
      <c r="F462" s="546"/>
      <c r="I462" s="545"/>
      <c r="N462" s="115" t="s">
        <v>113</v>
      </c>
    </row>
    <row r="463" ht="15.75" customHeight="1">
      <c r="A463" s="545"/>
      <c r="F463" s="546"/>
      <c r="I463" s="545"/>
      <c r="N463" s="115" t="s">
        <v>113</v>
      </c>
    </row>
    <row r="464" ht="15.75" customHeight="1">
      <c r="A464" s="545"/>
      <c r="F464" s="546"/>
      <c r="I464" s="545"/>
      <c r="N464" s="115" t="s">
        <v>113</v>
      </c>
    </row>
    <row r="465" ht="15.75" customHeight="1">
      <c r="A465" s="545"/>
      <c r="F465" s="546"/>
      <c r="I465" s="545"/>
      <c r="N465" s="115" t="s">
        <v>113</v>
      </c>
    </row>
    <row r="466" ht="15.75" customHeight="1">
      <c r="A466" s="545"/>
      <c r="F466" s="546"/>
      <c r="I466" s="545"/>
      <c r="N466" s="115" t="s">
        <v>113</v>
      </c>
    </row>
    <row r="467" ht="15.75" customHeight="1">
      <c r="A467" s="545"/>
      <c r="F467" s="546"/>
      <c r="I467" s="545"/>
      <c r="N467" s="115" t="s">
        <v>113</v>
      </c>
    </row>
    <row r="468" ht="15.75" customHeight="1">
      <c r="A468" s="545"/>
      <c r="F468" s="546"/>
      <c r="I468" s="545"/>
      <c r="N468" s="115" t="s">
        <v>113</v>
      </c>
    </row>
    <row r="469" ht="15.75" customHeight="1">
      <c r="A469" s="545"/>
      <c r="F469" s="546"/>
      <c r="I469" s="545"/>
      <c r="N469" s="115" t="s">
        <v>113</v>
      </c>
    </row>
    <row r="470" ht="15.75" customHeight="1">
      <c r="A470" s="545"/>
      <c r="F470" s="546"/>
      <c r="I470" s="545"/>
      <c r="N470" s="115" t="s">
        <v>113</v>
      </c>
    </row>
    <row r="471" ht="15.75" customHeight="1">
      <c r="A471" s="545"/>
      <c r="F471" s="546"/>
      <c r="I471" s="545"/>
      <c r="N471" s="115" t="s">
        <v>113</v>
      </c>
    </row>
    <row r="472" ht="15.75" customHeight="1">
      <c r="A472" s="545"/>
      <c r="F472" s="546"/>
      <c r="I472" s="545"/>
      <c r="N472" s="115" t="s">
        <v>113</v>
      </c>
    </row>
    <row r="473" ht="15.75" customHeight="1">
      <c r="A473" s="545"/>
      <c r="F473" s="546"/>
      <c r="I473" s="545"/>
      <c r="N473" s="115" t="s">
        <v>113</v>
      </c>
    </row>
    <row r="474" ht="15.75" customHeight="1">
      <c r="A474" s="545"/>
      <c r="F474" s="546"/>
      <c r="I474" s="545"/>
      <c r="N474" s="115" t="s">
        <v>113</v>
      </c>
    </row>
    <row r="475" ht="15.75" customHeight="1">
      <c r="A475" s="545"/>
      <c r="F475" s="546"/>
      <c r="I475" s="545"/>
      <c r="N475" s="115" t="s">
        <v>113</v>
      </c>
    </row>
    <row r="476" ht="15.75" customHeight="1">
      <c r="A476" s="545"/>
      <c r="F476" s="546"/>
      <c r="I476" s="545"/>
      <c r="N476" s="115" t="s">
        <v>113</v>
      </c>
    </row>
    <row r="477" ht="15.75" customHeight="1">
      <c r="A477" s="545"/>
      <c r="F477" s="546"/>
      <c r="I477" s="545"/>
      <c r="N477" s="115" t="s">
        <v>113</v>
      </c>
    </row>
    <row r="478" ht="15.75" customHeight="1">
      <c r="A478" s="545"/>
      <c r="F478" s="546"/>
      <c r="I478" s="545"/>
      <c r="N478" s="115" t="s">
        <v>113</v>
      </c>
    </row>
    <row r="479" ht="15.75" customHeight="1">
      <c r="A479" s="545"/>
      <c r="F479" s="546"/>
      <c r="I479" s="545"/>
      <c r="N479" s="115" t="s">
        <v>113</v>
      </c>
    </row>
    <row r="480" ht="15.75" customHeight="1">
      <c r="A480" s="545"/>
      <c r="F480" s="546"/>
      <c r="I480" s="545"/>
      <c r="N480" s="115" t="s">
        <v>113</v>
      </c>
    </row>
    <row r="481" ht="15.75" customHeight="1">
      <c r="A481" s="545"/>
      <c r="F481" s="546"/>
      <c r="I481" s="545"/>
      <c r="N481" s="115" t="s">
        <v>113</v>
      </c>
    </row>
    <row r="482" ht="15.75" customHeight="1">
      <c r="A482" s="545"/>
      <c r="F482" s="546"/>
      <c r="I482" s="545"/>
      <c r="N482" s="115" t="s">
        <v>113</v>
      </c>
    </row>
    <row r="483" ht="15.75" customHeight="1">
      <c r="A483" s="545"/>
      <c r="F483" s="546"/>
      <c r="I483" s="545"/>
      <c r="N483" s="115" t="s">
        <v>113</v>
      </c>
    </row>
    <row r="484" ht="15.75" customHeight="1">
      <c r="A484" s="545"/>
      <c r="F484" s="546"/>
      <c r="I484" s="545"/>
      <c r="N484" s="115" t="s">
        <v>113</v>
      </c>
    </row>
    <row r="485" ht="15.75" customHeight="1">
      <c r="A485" s="545"/>
      <c r="F485" s="546"/>
      <c r="I485" s="545"/>
      <c r="N485" s="115" t="s">
        <v>113</v>
      </c>
    </row>
    <row r="486" ht="15.75" customHeight="1">
      <c r="A486" s="545"/>
      <c r="F486" s="546"/>
      <c r="I486" s="545"/>
      <c r="N486" s="115" t="s">
        <v>113</v>
      </c>
    </row>
    <row r="487" ht="15.75" customHeight="1">
      <c r="A487" s="545"/>
      <c r="F487" s="546"/>
      <c r="I487" s="545"/>
      <c r="N487" s="115" t="s">
        <v>113</v>
      </c>
    </row>
    <row r="488" ht="15.75" customHeight="1">
      <c r="A488" s="545"/>
      <c r="F488" s="546"/>
      <c r="I488" s="545"/>
      <c r="N488" s="115" t="s">
        <v>113</v>
      </c>
    </row>
    <row r="489" ht="15.75" customHeight="1">
      <c r="A489" s="545"/>
      <c r="F489" s="546"/>
      <c r="I489" s="545"/>
      <c r="N489" s="115" t="s">
        <v>113</v>
      </c>
    </row>
    <row r="490" ht="15.75" customHeight="1">
      <c r="A490" s="545"/>
      <c r="F490" s="546"/>
      <c r="I490" s="545"/>
      <c r="N490" s="115" t="s">
        <v>113</v>
      </c>
    </row>
    <row r="491" ht="15.75" customHeight="1">
      <c r="A491" s="545"/>
      <c r="F491" s="546"/>
      <c r="I491" s="545"/>
      <c r="N491" s="115" t="s">
        <v>113</v>
      </c>
    </row>
    <row r="492" ht="15.75" customHeight="1">
      <c r="A492" s="545"/>
      <c r="F492" s="546"/>
      <c r="I492" s="545"/>
      <c r="N492" s="115" t="s">
        <v>113</v>
      </c>
    </row>
    <row r="493" ht="15.75" customHeight="1">
      <c r="A493" s="545"/>
      <c r="F493" s="546"/>
      <c r="I493" s="545"/>
      <c r="N493" s="115" t="s">
        <v>113</v>
      </c>
    </row>
    <row r="494" ht="15.75" customHeight="1">
      <c r="A494" s="545"/>
      <c r="F494" s="546"/>
      <c r="I494" s="545"/>
      <c r="N494" s="115" t="s">
        <v>113</v>
      </c>
    </row>
    <row r="495" ht="15.75" customHeight="1">
      <c r="A495" s="545"/>
      <c r="F495" s="546"/>
      <c r="I495" s="545"/>
      <c r="N495" s="115" t="s">
        <v>113</v>
      </c>
    </row>
    <row r="496" ht="15.75" customHeight="1">
      <c r="A496" s="545"/>
      <c r="F496" s="546"/>
      <c r="I496" s="545"/>
      <c r="N496" s="115" t="s">
        <v>113</v>
      </c>
    </row>
    <row r="497" ht="15.75" customHeight="1">
      <c r="A497" s="545"/>
      <c r="F497" s="546"/>
      <c r="I497" s="545"/>
      <c r="N497" s="115" t="s">
        <v>113</v>
      </c>
    </row>
    <row r="498" ht="15.75" customHeight="1">
      <c r="A498" s="545"/>
      <c r="F498" s="546"/>
      <c r="I498" s="545"/>
      <c r="N498" s="115" t="s">
        <v>113</v>
      </c>
    </row>
    <row r="499" ht="15.75" customHeight="1">
      <c r="A499" s="545"/>
      <c r="F499" s="546"/>
      <c r="I499" s="545"/>
      <c r="N499" s="115" t="s">
        <v>113</v>
      </c>
    </row>
    <row r="500" ht="15.75" customHeight="1">
      <c r="A500" s="545"/>
      <c r="F500" s="546"/>
      <c r="I500" s="545"/>
      <c r="N500" s="115" t="s">
        <v>113</v>
      </c>
    </row>
    <row r="501" ht="15.75" customHeight="1">
      <c r="A501" s="545"/>
      <c r="F501" s="546"/>
      <c r="I501" s="545"/>
      <c r="N501" s="115" t="s">
        <v>113</v>
      </c>
    </row>
    <row r="502" ht="15.75" customHeight="1">
      <c r="A502" s="545"/>
      <c r="F502" s="546"/>
      <c r="I502" s="545"/>
      <c r="N502" s="115" t="s">
        <v>113</v>
      </c>
    </row>
    <row r="503" ht="15.75" customHeight="1">
      <c r="A503" s="545"/>
      <c r="F503" s="546"/>
      <c r="I503" s="545"/>
      <c r="N503" s="115" t="s">
        <v>113</v>
      </c>
    </row>
    <row r="504" ht="15.75" customHeight="1">
      <c r="A504" s="545"/>
      <c r="F504" s="546"/>
      <c r="I504" s="545"/>
      <c r="N504" s="115" t="s">
        <v>113</v>
      </c>
    </row>
    <row r="505" ht="15.75" customHeight="1">
      <c r="A505" s="545"/>
      <c r="F505" s="546"/>
      <c r="I505" s="545"/>
      <c r="N505" s="115" t="s">
        <v>113</v>
      </c>
    </row>
    <row r="506" ht="15.75" customHeight="1">
      <c r="A506" s="545"/>
      <c r="F506" s="546"/>
      <c r="I506" s="545"/>
      <c r="N506" s="115" t="s">
        <v>113</v>
      </c>
    </row>
    <row r="507" ht="15.75" customHeight="1">
      <c r="A507" s="545"/>
      <c r="F507" s="546"/>
      <c r="I507" s="545"/>
      <c r="N507" s="115" t="s">
        <v>113</v>
      </c>
    </row>
    <row r="508" ht="15.75" customHeight="1">
      <c r="A508" s="545"/>
      <c r="F508" s="546"/>
      <c r="I508" s="545"/>
      <c r="N508" s="115" t="s">
        <v>113</v>
      </c>
    </row>
    <row r="509" ht="15.75" customHeight="1">
      <c r="A509" s="545"/>
      <c r="F509" s="546"/>
      <c r="I509" s="545"/>
      <c r="N509" s="115" t="s">
        <v>113</v>
      </c>
    </row>
    <row r="510" ht="15.75" customHeight="1">
      <c r="A510" s="545"/>
      <c r="F510" s="546"/>
      <c r="I510" s="545"/>
      <c r="N510" s="115" t="s">
        <v>113</v>
      </c>
    </row>
    <row r="511" ht="15.75" customHeight="1">
      <c r="A511" s="545"/>
      <c r="F511" s="546"/>
      <c r="I511" s="545"/>
      <c r="N511" s="115" t="s">
        <v>113</v>
      </c>
    </row>
    <row r="512" ht="15.75" customHeight="1">
      <c r="A512" s="545"/>
      <c r="F512" s="546"/>
      <c r="I512" s="545"/>
      <c r="N512" s="115" t="s">
        <v>113</v>
      </c>
    </row>
    <row r="513" ht="15.75" customHeight="1">
      <c r="A513" s="545"/>
      <c r="F513" s="546"/>
      <c r="I513" s="545"/>
      <c r="N513" s="115" t="s">
        <v>113</v>
      </c>
    </row>
    <row r="514" ht="15.75" customHeight="1">
      <c r="A514" s="545"/>
      <c r="F514" s="546"/>
      <c r="I514" s="545"/>
      <c r="N514" s="115" t="s">
        <v>113</v>
      </c>
    </row>
    <row r="515" ht="15.75" customHeight="1">
      <c r="A515" s="545"/>
      <c r="F515" s="546"/>
      <c r="I515" s="545"/>
      <c r="N515" s="115" t="s">
        <v>113</v>
      </c>
    </row>
    <row r="516" ht="15.75" customHeight="1">
      <c r="A516" s="545"/>
      <c r="F516" s="546"/>
      <c r="I516" s="545"/>
      <c r="N516" s="115" t="s">
        <v>113</v>
      </c>
    </row>
    <row r="517" ht="15.75" customHeight="1">
      <c r="A517" s="545"/>
      <c r="F517" s="546"/>
      <c r="I517" s="545"/>
      <c r="N517" s="115" t="s">
        <v>113</v>
      </c>
    </row>
    <row r="518" ht="15.75" customHeight="1">
      <c r="A518" s="545"/>
      <c r="F518" s="546"/>
      <c r="I518" s="545"/>
      <c r="N518" s="115" t="s">
        <v>113</v>
      </c>
    </row>
    <row r="519" ht="15.75" customHeight="1">
      <c r="A519" s="545"/>
      <c r="F519" s="546"/>
      <c r="I519" s="545"/>
      <c r="N519" s="115" t="s">
        <v>113</v>
      </c>
    </row>
    <row r="520" ht="15.75" customHeight="1">
      <c r="A520" s="545"/>
      <c r="F520" s="546"/>
      <c r="I520" s="545"/>
      <c r="N520" s="115" t="s">
        <v>113</v>
      </c>
    </row>
    <row r="521" ht="15.75" customHeight="1">
      <c r="A521" s="545"/>
      <c r="F521" s="546"/>
      <c r="I521" s="545"/>
      <c r="N521" s="115" t="s">
        <v>113</v>
      </c>
    </row>
    <row r="522" ht="15.75" customHeight="1">
      <c r="A522" s="545"/>
      <c r="F522" s="546"/>
      <c r="I522" s="545"/>
      <c r="N522" s="115" t="s">
        <v>113</v>
      </c>
    </row>
    <row r="523" ht="15.75" customHeight="1">
      <c r="A523" s="545"/>
      <c r="F523" s="546"/>
      <c r="I523" s="545"/>
      <c r="N523" s="115" t="s">
        <v>113</v>
      </c>
    </row>
    <row r="524" ht="15.75" customHeight="1">
      <c r="A524" s="545"/>
      <c r="F524" s="546"/>
      <c r="I524" s="545"/>
      <c r="N524" s="115" t="s">
        <v>113</v>
      </c>
    </row>
    <row r="525" ht="15.75" customHeight="1">
      <c r="A525" s="545"/>
      <c r="F525" s="546"/>
      <c r="I525" s="545"/>
      <c r="N525" s="115" t="s">
        <v>113</v>
      </c>
    </row>
    <row r="526" ht="15.75" customHeight="1">
      <c r="A526" s="545"/>
      <c r="F526" s="546"/>
      <c r="I526" s="545"/>
      <c r="N526" s="115" t="s">
        <v>113</v>
      </c>
    </row>
    <row r="527" ht="15.75" customHeight="1">
      <c r="A527" s="545"/>
      <c r="F527" s="546"/>
      <c r="I527" s="545"/>
      <c r="N527" s="115" t="s">
        <v>113</v>
      </c>
    </row>
    <row r="528" ht="15.75" customHeight="1">
      <c r="A528" s="545"/>
      <c r="F528" s="546"/>
      <c r="I528" s="545"/>
      <c r="N528" s="115" t="s">
        <v>113</v>
      </c>
    </row>
    <row r="529" ht="15.75" customHeight="1">
      <c r="A529" s="545"/>
      <c r="F529" s="546"/>
      <c r="I529" s="545"/>
      <c r="N529" s="115" t="s">
        <v>113</v>
      </c>
    </row>
    <row r="530" ht="15.75" customHeight="1">
      <c r="A530" s="545"/>
      <c r="F530" s="546"/>
      <c r="I530" s="545"/>
      <c r="N530" s="115" t="s">
        <v>113</v>
      </c>
    </row>
    <row r="531" ht="15.75" customHeight="1">
      <c r="A531" s="545"/>
      <c r="F531" s="546"/>
      <c r="I531" s="545"/>
      <c r="N531" s="115" t="s">
        <v>113</v>
      </c>
    </row>
    <row r="532" ht="15.75" customHeight="1">
      <c r="A532" s="545"/>
      <c r="F532" s="546"/>
      <c r="I532" s="545"/>
      <c r="N532" s="115" t="s">
        <v>113</v>
      </c>
    </row>
    <row r="533" ht="15.75" customHeight="1">
      <c r="A533" s="545"/>
      <c r="F533" s="546"/>
      <c r="I533" s="545"/>
      <c r="N533" s="115" t="s">
        <v>113</v>
      </c>
    </row>
    <row r="534" ht="15.75" customHeight="1">
      <c r="A534" s="545"/>
      <c r="F534" s="546"/>
      <c r="I534" s="545"/>
      <c r="N534" s="115" t="s">
        <v>113</v>
      </c>
    </row>
    <row r="535" ht="15.75" customHeight="1">
      <c r="A535" s="545"/>
      <c r="F535" s="546"/>
      <c r="I535" s="545"/>
      <c r="N535" s="115" t="s">
        <v>113</v>
      </c>
    </row>
    <row r="536" ht="15.75" customHeight="1">
      <c r="A536" s="545"/>
      <c r="F536" s="546"/>
      <c r="I536" s="545"/>
      <c r="N536" s="115" t="s">
        <v>113</v>
      </c>
    </row>
    <row r="537" ht="15.75" customHeight="1">
      <c r="A537" s="545"/>
      <c r="F537" s="546"/>
      <c r="I537" s="545"/>
      <c r="N537" s="115" t="s">
        <v>113</v>
      </c>
    </row>
    <row r="538" ht="15.75" customHeight="1">
      <c r="A538" s="545"/>
      <c r="F538" s="546"/>
      <c r="I538" s="545"/>
      <c r="N538" s="115" t="s">
        <v>113</v>
      </c>
    </row>
    <row r="539" ht="15.75" customHeight="1">
      <c r="A539" s="545"/>
      <c r="F539" s="546"/>
      <c r="I539" s="545"/>
      <c r="N539" s="115" t="s">
        <v>113</v>
      </c>
    </row>
    <row r="540" ht="15.75" customHeight="1">
      <c r="A540" s="545"/>
      <c r="F540" s="546"/>
      <c r="I540" s="545"/>
      <c r="N540" s="115" t="s">
        <v>113</v>
      </c>
    </row>
    <row r="541" ht="15.75" customHeight="1">
      <c r="A541" s="545"/>
      <c r="F541" s="546"/>
      <c r="I541" s="545"/>
      <c r="N541" s="115" t="s">
        <v>113</v>
      </c>
    </row>
    <row r="542" ht="15.75" customHeight="1">
      <c r="A542" s="545"/>
      <c r="F542" s="546"/>
      <c r="I542" s="545"/>
      <c r="N542" s="115" t="s">
        <v>113</v>
      </c>
    </row>
    <row r="543" ht="15.75" customHeight="1">
      <c r="A543" s="545"/>
      <c r="F543" s="546"/>
      <c r="I543" s="545"/>
      <c r="N543" s="115" t="s">
        <v>113</v>
      </c>
    </row>
    <row r="544" ht="15.75" customHeight="1">
      <c r="A544" s="545"/>
      <c r="F544" s="546"/>
      <c r="I544" s="545"/>
      <c r="N544" s="115" t="s">
        <v>113</v>
      </c>
    </row>
    <row r="545" ht="15.75" customHeight="1">
      <c r="A545" s="545"/>
      <c r="F545" s="546"/>
      <c r="I545" s="545"/>
      <c r="N545" s="115" t="s">
        <v>113</v>
      </c>
    </row>
    <row r="546" ht="15.75" customHeight="1">
      <c r="A546" s="545"/>
      <c r="F546" s="546"/>
      <c r="I546" s="545"/>
      <c r="N546" s="115" t="s">
        <v>113</v>
      </c>
    </row>
    <row r="547" ht="15.75" customHeight="1">
      <c r="A547" s="545"/>
      <c r="F547" s="546"/>
      <c r="I547" s="545"/>
      <c r="N547" s="115" t="s">
        <v>113</v>
      </c>
    </row>
    <row r="548" ht="15.75" customHeight="1">
      <c r="A548" s="545"/>
      <c r="F548" s="546"/>
      <c r="I548" s="545"/>
      <c r="N548" s="115" t="s">
        <v>113</v>
      </c>
    </row>
    <row r="549" ht="15.75" customHeight="1">
      <c r="A549" s="545"/>
      <c r="F549" s="546"/>
      <c r="I549" s="545"/>
      <c r="N549" s="115" t="s">
        <v>113</v>
      </c>
    </row>
    <row r="550" ht="15.75" customHeight="1">
      <c r="A550" s="545"/>
      <c r="F550" s="546"/>
      <c r="I550" s="545"/>
      <c r="N550" s="115" t="s">
        <v>113</v>
      </c>
    </row>
    <row r="551" ht="15.75" customHeight="1">
      <c r="A551" s="545"/>
      <c r="F551" s="546"/>
      <c r="I551" s="545"/>
      <c r="N551" s="115" t="s">
        <v>113</v>
      </c>
    </row>
    <row r="552" ht="15.75" customHeight="1">
      <c r="A552" s="545"/>
      <c r="F552" s="546"/>
      <c r="I552" s="545"/>
      <c r="N552" s="115" t="s">
        <v>113</v>
      </c>
    </row>
    <row r="553" ht="15.75" customHeight="1">
      <c r="A553" s="545"/>
      <c r="F553" s="546"/>
      <c r="I553" s="545"/>
      <c r="N553" s="115" t="s">
        <v>113</v>
      </c>
    </row>
    <row r="554" ht="15.75" customHeight="1">
      <c r="A554" s="545"/>
      <c r="F554" s="546"/>
      <c r="I554" s="545"/>
      <c r="N554" s="115" t="s">
        <v>113</v>
      </c>
    </row>
    <row r="555" ht="15.75" customHeight="1">
      <c r="A555" s="545"/>
      <c r="F555" s="546"/>
      <c r="I555" s="545"/>
      <c r="N555" s="115" t="s">
        <v>113</v>
      </c>
    </row>
    <row r="556" ht="15.75" customHeight="1">
      <c r="A556" s="545"/>
      <c r="F556" s="546"/>
      <c r="I556" s="545"/>
      <c r="N556" s="115" t="s">
        <v>113</v>
      </c>
    </row>
    <row r="557" ht="15.75" customHeight="1">
      <c r="A557" s="545"/>
      <c r="F557" s="546"/>
      <c r="I557" s="545"/>
      <c r="N557" s="115" t="s">
        <v>113</v>
      </c>
    </row>
    <row r="558" ht="15.75" customHeight="1">
      <c r="A558" s="545"/>
      <c r="F558" s="546"/>
      <c r="I558" s="545"/>
      <c r="N558" s="115" t="s">
        <v>113</v>
      </c>
    </row>
    <row r="559" ht="15.75" customHeight="1">
      <c r="A559" s="545"/>
      <c r="F559" s="546"/>
      <c r="I559" s="545"/>
      <c r="N559" s="115" t="s">
        <v>113</v>
      </c>
    </row>
    <row r="560" ht="15.75" customHeight="1">
      <c r="A560" s="545"/>
      <c r="F560" s="546"/>
      <c r="I560" s="545"/>
      <c r="N560" s="115" t="s">
        <v>113</v>
      </c>
    </row>
    <row r="561" ht="15.75" customHeight="1">
      <c r="A561" s="545"/>
      <c r="F561" s="546"/>
      <c r="I561" s="545"/>
      <c r="N561" s="115" t="s">
        <v>113</v>
      </c>
    </row>
    <row r="562" ht="15.75" customHeight="1">
      <c r="A562" s="545"/>
      <c r="F562" s="546"/>
      <c r="I562" s="545"/>
      <c r="N562" s="115" t="s">
        <v>113</v>
      </c>
    </row>
    <row r="563" ht="15.75" customHeight="1">
      <c r="A563" s="545"/>
      <c r="F563" s="546"/>
      <c r="I563" s="545"/>
      <c r="N563" s="115" t="s">
        <v>113</v>
      </c>
    </row>
    <row r="564" ht="15.75" customHeight="1">
      <c r="A564" s="545"/>
      <c r="F564" s="546"/>
      <c r="I564" s="545"/>
      <c r="N564" s="115" t="s">
        <v>113</v>
      </c>
    </row>
    <row r="565" ht="15.75" customHeight="1">
      <c r="A565" s="545"/>
      <c r="F565" s="546"/>
      <c r="I565" s="545"/>
      <c r="N565" s="115" t="s">
        <v>113</v>
      </c>
    </row>
    <row r="566" ht="15.75" customHeight="1">
      <c r="A566" s="545"/>
      <c r="F566" s="546"/>
      <c r="I566" s="545"/>
      <c r="N566" s="115" t="s">
        <v>113</v>
      </c>
    </row>
    <row r="567" ht="15.75" customHeight="1">
      <c r="A567" s="545"/>
      <c r="F567" s="546"/>
      <c r="I567" s="545"/>
      <c r="N567" s="115" t="s">
        <v>113</v>
      </c>
    </row>
    <row r="568" ht="15.75" customHeight="1">
      <c r="A568" s="545"/>
      <c r="F568" s="546"/>
      <c r="I568" s="545"/>
      <c r="N568" s="115" t="s">
        <v>113</v>
      </c>
    </row>
    <row r="569" ht="15.75" customHeight="1">
      <c r="A569" s="545"/>
      <c r="F569" s="546"/>
      <c r="I569" s="545"/>
      <c r="N569" s="115" t="s">
        <v>113</v>
      </c>
    </row>
    <row r="570" ht="15.75" customHeight="1">
      <c r="A570" s="545"/>
      <c r="F570" s="546"/>
      <c r="I570" s="545"/>
      <c r="N570" s="115" t="s">
        <v>113</v>
      </c>
    </row>
    <row r="571" ht="15.75" customHeight="1">
      <c r="A571" s="545"/>
      <c r="F571" s="546"/>
      <c r="I571" s="545"/>
      <c r="N571" s="115" t="s">
        <v>113</v>
      </c>
    </row>
    <row r="572" ht="15.75" customHeight="1">
      <c r="A572" s="545"/>
      <c r="F572" s="546"/>
      <c r="I572" s="545"/>
      <c r="N572" s="115" t="s">
        <v>113</v>
      </c>
    </row>
    <row r="573" ht="15.75" customHeight="1">
      <c r="A573" s="545"/>
      <c r="F573" s="546"/>
      <c r="I573" s="545"/>
      <c r="N573" s="115" t="s">
        <v>113</v>
      </c>
    </row>
    <row r="574" ht="15.75" customHeight="1">
      <c r="A574" s="545"/>
      <c r="F574" s="546"/>
      <c r="I574" s="545"/>
      <c r="N574" s="115" t="s">
        <v>113</v>
      </c>
    </row>
    <row r="575" ht="15.75" customHeight="1">
      <c r="A575" s="545"/>
      <c r="F575" s="546"/>
      <c r="I575" s="545"/>
      <c r="N575" s="115" t="s">
        <v>113</v>
      </c>
    </row>
    <row r="576" ht="15.75" customHeight="1">
      <c r="A576" s="545"/>
      <c r="F576" s="546"/>
      <c r="I576" s="545"/>
      <c r="N576" s="115" t="s">
        <v>113</v>
      </c>
    </row>
    <row r="577" ht="15.75" customHeight="1">
      <c r="A577" s="545"/>
      <c r="F577" s="546"/>
      <c r="I577" s="545"/>
      <c r="N577" s="115" t="s">
        <v>113</v>
      </c>
    </row>
    <row r="578" ht="15.75" customHeight="1">
      <c r="A578" s="545"/>
      <c r="F578" s="546"/>
      <c r="I578" s="545"/>
      <c r="N578" s="115" t="s">
        <v>113</v>
      </c>
    </row>
    <row r="579" ht="15.75" customHeight="1">
      <c r="A579" s="545"/>
      <c r="F579" s="546"/>
      <c r="I579" s="545"/>
      <c r="N579" s="115" t="s">
        <v>113</v>
      </c>
    </row>
    <row r="580" ht="15.75" customHeight="1">
      <c r="A580" s="545"/>
      <c r="F580" s="546"/>
      <c r="I580" s="545"/>
      <c r="N580" s="115" t="s">
        <v>113</v>
      </c>
    </row>
    <row r="581" ht="15.75" customHeight="1">
      <c r="A581" s="545"/>
      <c r="F581" s="546"/>
      <c r="I581" s="545"/>
      <c r="N581" s="115" t="s">
        <v>113</v>
      </c>
    </row>
    <row r="582" ht="15.75" customHeight="1">
      <c r="A582" s="545"/>
      <c r="F582" s="546"/>
      <c r="I582" s="545"/>
      <c r="N582" s="115" t="s">
        <v>113</v>
      </c>
    </row>
    <row r="583" ht="15.75" customHeight="1">
      <c r="A583" s="545"/>
      <c r="F583" s="546"/>
      <c r="I583" s="545"/>
      <c r="N583" s="115" t="s">
        <v>113</v>
      </c>
    </row>
    <row r="584" ht="15.75" customHeight="1">
      <c r="A584" s="545"/>
      <c r="F584" s="546"/>
      <c r="I584" s="545"/>
      <c r="N584" s="115" t="s">
        <v>113</v>
      </c>
    </row>
    <row r="585" ht="15.75" customHeight="1">
      <c r="A585" s="545"/>
      <c r="F585" s="546"/>
      <c r="I585" s="545"/>
      <c r="N585" s="115" t="s">
        <v>113</v>
      </c>
    </row>
    <row r="586" ht="15.75" customHeight="1">
      <c r="A586" s="545"/>
      <c r="F586" s="546"/>
      <c r="I586" s="545"/>
      <c r="N586" s="115" t="s">
        <v>113</v>
      </c>
    </row>
    <row r="587" ht="15.75" customHeight="1">
      <c r="A587" s="545"/>
      <c r="F587" s="546"/>
      <c r="I587" s="545"/>
      <c r="N587" s="115" t="s">
        <v>113</v>
      </c>
    </row>
    <row r="588" ht="15.75" customHeight="1">
      <c r="A588" s="545"/>
      <c r="F588" s="546"/>
      <c r="I588" s="545"/>
      <c r="N588" s="115" t="s">
        <v>113</v>
      </c>
    </row>
    <row r="589" ht="15.75" customHeight="1">
      <c r="A589" s="545"/>
      <c r="F589" s="546"/>
      <c r="I589" s="545"/>
      <c r="N589" s="115" t="s">
        <v>113</v>
      </c>
    </row>
    <row r="590" ht="15.75" customHeight="1">
      <c r="A590" s="545"/>
      <c r="F590" s="546"/>
      <c r="I590" s="545"/>
      <c r="N590" s="115" t="s">
        <v>113</v>
      </c>
    </row>
    <row r="591" ht="15.75" customHeight="1">
      <c r="A591" s="545"/>
      <c r="F591" s="546"/>
      <c r="I591" s="545"/>
      <c r="N591" s="115" t="s">
        <v>113</v>
      </c>
    </row>
    <row r="592" ht="15.75" customHeight="1">
      <c r="A592" s="545"/>
      <c r="F592" s="546"/>
      <c r="I592" s="545"/>
      <c r="N592" s="115" t="s">
        <v>113</v>
      </c>
    </row>
    <row r="593" ht="15.75" customHeight="1">
      <c r="A593" s="545"/>
      <c r="F593" s="546"/>
      <c r="I593" s="545"/>
      <c r="N593" s="115" t="s">
        <v>113</v>
      </c>
    </row>
    <row r="594" ht="15.75" customHeight="1">
      <c r="A594" s="545"/>
      <c r="F594" s="546"/>
      <c r="I594" s="545"/>
      <c r="N594" s="115" t="s">
        <v>113</v>
      </c>
    </row>
    <row r="595" ht="15.75" customHeight="1">
      <c r="A595" s="545"/>
      <c r="F595" s="546"/>
      <c r="I595" s="545"/>
      <c r="N595" s="115" t="s">
        <v>113</v>
      </c>
    </row>
    <row r="596" ht="15.75" customHeight="1">
      <c r="A596" s="545"/>
      <c r="F596" s="546"/>
      <c r="I596" s="545"/>
      <c r="N596" s="115" t="s">
        <v>113</v>
      </c>
    </row>
    <row r="597" ht="15.75" customHeight="1">
      <c r="A597" s="545"/>
      <c r="F597" s="546"/>
      <c r="I597" s="545"/>
      <c r="N597" s="115" t="s">
        <v>113</v>
      </c>
    </row>
    <row r="598" ht="15.75" customHeight="1">
      <c r="A598" s="545"/>
      <c r="F598" s="546"/>
      <c r="I598" s="545"/>
      <c r="N598" s="115" t="s">
        <v>113</v>
      </c>
    </row>
    <row r="599" ht="15.75" customHeight="1">
      <c r="A599" s="545"/>
      <c r="F599" s="546"/>
      <c r="I599" s="545"/>
      <c r="N599" s="115" t="s">
        <v>113</v>
      </c>
    </row>
    <row r="600" ht="15.75" customHeight="1">
      <c r="A600" s="545"/>
      <c r="F600" s="546"/>
      <c r="I600" s="545"/>
      <c r="N600" s="115" t="s">
        <v>113</v>
      </c>
    </row>
    <row r="601" ht="15.75" customHeight="1">
      <c r="A601" s="545"/>
      <c r="F601" s="546"/>
      <c r="I601" s="545"/>
      <c r="N601" s="115" t="s">
        <v>113</v>
      </c>
    </row>
    <row r="602" ht="15.75" customHeight="1">
      <c r="A602" s="545"/>
      <c r="F602" s="546"/>
      <c r="I602" s="545"/>
      <c r="N602" s="115" t="s">
        <v>113</v>
      </c>
    </row>
    <row r="603" ht="15.75" customHeight="1">
      <c r="A603" s="545"/>
      <c r="F603" s="546"/>
      <c r="I603" s="545"/>
      <c r="N603" s="115" t="s">
        <v>113</v>
      </c>
    </row>
    <row r="604" ht="15.75" customHeight="1">
      <c r="A604" s="545"/>
      <c r="F604" s="546"/>
      <c r="I604" s="545"/>
      <c r="N604" s="115" t="s">
        <v>113</v>
      </c>
    </row>
    <row r="605" ht="15.75" customHeight="1">
      <c r="A605" s="545"/>
      <c r="F605" s="546"/>
      <c r="I605" s="545"/>
      <c r="N605" s="115" t="s">
        <v>113</v>
      </c>
    </row>
    <row r="606" ht="15.75" customHeight="1">
      <c r="A606" s="545"/>
      <c r="F606" s="546"/>
      <c r="I606" s="545"/>
      <c r="N606" s="115" t="s">
        <v>113</v>
      </c>
    </row>
    <row r="607" ht="15.75" customHeight="1">
      <c r="A607" s="545"/>
      <c r="F607" s="546"/>
      <c r="I607" s="545"/>
      <c r="N607" s="115" t="s">
        <v>113</v>
      </c>
    </row>
    <row r="608" ht="15.75" customHeight="1">
      <c r="A608" s="545"/>
      <c r="F608" s="546"/>
      <c r="I608" s="545"/>
      <c r="N608" s="115" t="s">
        <v>113</v>
      </c>
    </row>
    <row r="609" ht="15.75" customHeight="1">
      <c r="A609" s="545"/>
      <c r="F609" s="546"/>
      <c r="I609" s="545"/>
      <c r="N609" s="115" t="s">
        <v>113</v>
      </c>
    </row>
    <row r="610" ht="15.75" customHeight="1">
      <c r="A610" s="545"/>
      <c r="F610" s="546"/>
      <c r="I610" s="545"/>
      <c r="N610" s="115" t="s">
        <v>113</v>
      </c>
    </row>
    <row r="611" ht="15.75" customHeight="1">
      <c r="A611" s="545"/>
      <c r="F611" s="546"/>
      <c r="I611" s="545"/>
      <c r="N611" s="115" t="s">
        <v>113</v>
      </c>
    </row>
    <row r="612" ht="15.75" customHeight="1">
      <c r="A612" s="545"/>
      <c r="F612" s="546"/>
      <c r="I612" s="545"/>
      <c r="N612" s="115" t="s">
        <v>113</v>
      </c>
    </row>
    <row r="613" ht="15.75" customHeight="1">
      <c r="A613" s="545"/>
      <c r="F613" s="546"/>
      <c r="I613" s="545"/>
      <c r="N613" s="115" t="s">
        <v>113</v>
      </c>
    </row>
    <row r="614" ht="15.75" customHeight="1">
      <c r="A614" s="545"/>
      <c r="F614" s="546"/>
      <c r="I614" s="545"/>
      <c r="N614" s="115" t="s">
        <v>113</v>
      </c>
    </row>
    <row r="615" ht="15.75" customHeight="1">
      <c r="A615" s="545"/>
      <c r="F615" s="546"/>
      <c r="I615" s="545"/>
      <c r="N615" s="115" t="s">
        <v>113</v>
      </c>
    </row>
    <row r="616" ht="15.75" customHeight="1">
      <c r="A616" s="545"/>
      <c r="F616" s="546"/>
      <c r="I616" s="545"/>
      <c r="N616" s="115" t="s">
        <v>113</v>
      </c>
    </row>
    <row r="617" ht="15.75" customHeight="1">
      <c r="A617" s="545"/>
      <c r="F617" s="546"/>
      <c r="I617" s="545"/>
      <c r="N617" s="115" t="s">
        <v>113</v>
      </c>
    </row>
    <row r="618" ht="15.75" customHeight="1">
      <c r="A618" s="545"/>
      <c r="F618" s="546"/>
      <c r="I618" s="545"/>
      <c r="N618" s="115" t="s">
        <v>113</v>
      </c>
    </row>
    <row r="619" ht="15.75" customHeight="1">
      <c r="A619" s="545"/>
      <c r="F619" s="546"/>
      <c r="I619" s="545"/>
      <c r="N619" s="115" t="s">
        <v>113</v>
      </c>
    </row>
    <row r="620" ht="15.75" customHeight="1">
      <c r="A620" s="545"/>
      <c r="F620" s="546"/>
      <c r="I620" s="545"/>
      <c r="N620" s="115" t="s">
        <v>113</v>
      </c>
    </row>
    <row r="621" ht="15.75" customHeight="1">
      <c r="A621" s="545"/>
      <c r="F621" s="546"/>
      <c r="I621" s="545"/>
      <c r="N621" s="115" t="s">
        <v>113</v>
      </c>
    </row>
    <row r="622" ht="15.75" customHeight="1">
      <c r="A622" s="545"/>
      <c r="F622" s="546"/>
      <c r="I622" s="545"/>
      <c r="N622" s="115" t="s">
        <v>113</v>
      </c>
    </row>
    <row r="623" ht="15.75" customHeight="1">
      <c r="A623" s="545"/>
      <c r="F623" s="546"/>
      <c r="I623" s="545"/>
      <c r="N623" s="115" t="s">
        <v>113</v>
      </c>
    </row>
    <row r="624" ht="15.75" customHeight="1">
      <c r="A624" s="545"/>
      <c r="F624" s="546"/>
      <c r="I624" s="545"/>
      <c r="N624" s="115" t="s">
        <v>113</v>
      </c>
    </row>
    <row r="625" ht="15.75" customHeight="1">
      <c r="A625" s="545"/>
      <c r="F625" s="546"/>
      <c r="I625" s="545"/>
      <c r="N625" s="115" t="s">
        <v>113</v>
      </c>
    </row>
    <row r="626" ht="15.75" customHeight="1">
      <c r="A626" s="545"/>
      <c r="F626" s="546"/>
      <c r="I626" s="545"/>
      <c r="N626" s="115" t="s">
        <v>113</v>
      </c>
    </row>
    <row r="627" ht="15.75" customHeight="1">
      <c r="A627" s="545"/>
      <c r="F627" s="546"/>
      <c r="I627" s="545"/>
      <c r="N627" s="115" t="s">
        <v>113</v>
      </c>
    </row>
    <row r="628" ht="15.75" customHeight="1">
      <c r="A628" s="545"/>
      <c r="F628" s="546"/>
      <c r="I628" s="545"/>
      <c r="N628" s="115" t="s">
        <v>113</v>
      </c>
    </row>
    <row r="629" ht="15.75" customHeight="1">
      <c r="A629" s="545"/>
      <c r="F629" s="546"/>
      <c r="I629" s="545"/>
      <c r="N629" s="115" t="s">
        <v>113</v>
      </c>
    </row>
    <row r="630" ht="15.75" customHeight="1">
      <c r="A630" s="545"/>
      <c r="F630" s="546"/>
      <c r="I630" s="545"/>
      <c r="N630" s="115" t="s">
        <v>113</v>
      </c>
    </row>
    <row r="631" ht="15.75" customHeight="1">
      <c r="A631" s="545"/>
      <c r="F631" s="546"/>
      <c r="I631" s="545"/>
      <c r="N631" s="115" t="s">
        <v>113</v>
      </c>
    </row>
    <row r="632" ht="15.75" customHeight="1">
      <c r="A632" s="545"/>
      <c r="F632" s="546"/>
      <c r="I632" s="545"/>
      <c r="N632" s="115" t="s">
        <v>113</v>
      </c>
    </row>
    <row r="633" ht="15.75" customHeight="1">
      <c r="A633" s="545"/>
      <c r="F633" s="546"/>
      <c r="I633" s="545"/>
      <c r="N633" s="115" t="s">
        <v>113</v>
      </c>
    </row>
    <row r="634" ht="15.75" customHeight="1">
      <c r="A634" s="545"/>
      <c r="F634" s="546"/>
      <c r="I634" s="545"/>
      <c r="N634" s="115" t="s">
        <v>113</v>
      </c>
    </row>
    <row r="635" ht="15.75" customHeight="1">
      <c r="A635" s="545"/>
      <c r="F635" s="546"/>
      <c r="I635" s="545"/>
      <c r="N635" s="115" t="s">
        <v>113</v>
      </c>
    </row>
    <row r="636" ht="15.75" customHeight="1">
      <c r="A636" s="545"/>
      <c r="F636" s="546"/>
      <c r="I636" s="545"/>
      <c r="N636" s="115" t="s">
        <v>113</v>
      </c>
    </row>
    <row r="637" ht="15.75" customHeight="1">
      <c r="A637" s="545"/>
      <c r="F637" s="546"/>
      <c r="I637" s="545"/>
      <c r="N637" s="115" t="s">
        <v>113</v>
      </c>
    </row>
    <row r="638" ht="15.75" customHeight="1">
      <c r="A638" s="545"/>
      <c r="F638" s="546"/>
      <c r="I638" s="545"/>
      <c r="N638" s="115" t="s">
        <v>113</v>
      </c>
    </row>
    <row r="639" ht="15.75" customHeight="1">
      <c r="A639" s="545"/>
      <c r="F639" s="546"/>
      <c r="I639" s="545"/>
      <c r="N639" s="115" t="s">
        <v>113</v>
      </c>
    </row>
    <row r="640" ht="15.75" customHeight="1">
      <c r="A640" s="545"/>
      <c r="F640" s="546"/>
      <c r="I640" s="545"/>
      <c r="N640" s="115" t="s">
        <v>113</v>
      </c>
    </row>
    <row r="641" ht="15.75" customHeight="1">
      <c r="A641" s="545"/>
      <c r="F641" s="546"/>
      <c r="I641" s="545"/>
      <c r="N641" s="115" t="s">
        <v>113</v>
      </c>
    </row>
    <row r="642" ht="15.75" customHeight="1">
      <c r="A642" s="545"/>
      <c r="F642" s="546"/>
      <c r="I642" s="545"/>
      <c r="N642" s="115" t="s">
        <v>113</v>
      </c>
    </row>
    <row r="643" ht="15.75" customHeight="1">
      <c r="A643" s="545"/>
      <c r="F643" s="546"/>
      <c r="I643" s="545"/>
      <c r="N643" s="115" t="s">
        <v>113</v>
      </c>
    </row>
    <row r="644" ht="15.75" customHeight="1">
      <c r="A644" s="545"/>
      <c r="F644" s="546"/>
      <c r="I644" s="545"/>
      <c r="N644" s="115" t="s">
        <v>113</v>
      </c>
    </row>
    <row r="645" ht="15.75" customHeight="1">
      <c r="A645" s="545"/>
      <c r="F645" s="546"/>
      <c r="I645" s="545"/>
      <c r="N645" s="115" t="s">
        <v>113</v>
      </c>
    </row>
    <row r="646" ht="15.75" customHeight="1">
      <c r="A646" s="545"/>
      <c r="F646" s="546"/>
      <c r="I646" s="545"/>
      <c r="N646" s="115" t="s">
        <v>113</v>
      </c>
    </row>
    <row r="647" ht="15.75" customHeight="1">
      <c r="A647" s="545"/>
      <c r="F647" s="546"/>
      <c r="I647" s="545"/>
      <c r="N647" s="115" t="s">
        <v>113</v>
      </c>
    </row>
    <row r="648" ht="15.75" customHeight="1">
      <c r="A648" s="545"/>
      <c r="F648" s="546"/>
      <c r="I648" s="545"/>
      <c r="N648" s="115" t="s">
        <v>113</v>
      </c>
    </row>
    <row r="649" ht="15.75" customHeight="1">
      <c r="A649" s="545"/>
      <c r="F649" s="546"/>
      <c r="I649" s="545"/>
      <c r="N649" s="115" t="s">
        <v>113</v>
      </c>
    </row>
    <row r="650" ht="15.75" customHeight="1">
      <c r="A650" s="545"/>
      <c r="F650" s="546"/>
      <c r="I650" s="545"/>
      <c r="N650" s="115" t="s">
        <v>113</v>
      </c>
    </row>
    <row r="651" ht="15.75" customHeight="1">
      <c r="A651" s="545"/>
      <c r="F651" s="546"/>
      <c r="I651" s="545"/>
      <c r="N651" s="115" t="s">
        <v>113</v>
      </c>
    </row>
    <row r="652" ht="15.75" customHeight="1">
      <c r="A652" s="545"/>
      <c r="F652" s="546"/>
      <c r="I652" s="545"/>
      <c r="N652" s="115" t="s">
        <v>113</v>
      </c>
    </row>
    <row r="653" ht="15.75" customHeight="1">
      <c r="A653" s="545"/>
      <c r="F653" s="546"/>
      <c r="I653" s="545"/>
      <c r="N653" s="115" t="s">
        <v>113</v>
      </c>
    </row>
    <row r="654" ht="15.75" customHeight="1">
      <c r="A654" s="545"/>
      <c r="F654" s="546"/>
      <c r="I654" s="545"/>
      <c r="N654" s="115" t="s">
        <v>113</v>
      </c>
    </row>
    <row r="655" ht="15.75" customHeight="1">
      <c r="A655" s="545"/>
      <c r="F655" s="546"/>
      <c r="I655" s="545"/>
      <c r="N655" s="115" t="s">
        <v>113</v>
      </c>
    </row>
    <row r="656" ht="15.75" customHeight="1">
      <c r="A656" s="545"/>
      <c r="F656" s="546"/>
      <c r="I656" s="545"/>
      <c r="N656" s="115" t="s">
        <v>113</v>
      </c>
    </row>
    <row r="657" ht="15.75" customHeight="1">
      <c r="A657" s="545"/>
      <c r="F657" s="546"/>
      <c r="I657" s="545"/>
      <c r="N657" s="115" t="s">
        <v>113</v>
      </c>
    </row>
    <row r="658" ht="15.75" customHeight="1">
      <c r="A658" s="545"/>
      <c r="F658" s="546"/>
      <c r="I658" s="545"/>
      <c r="N658" s="115" t="s">
        <v>113</v>
      </c>
    </row>
    <row r="659" ht="15.75" customHeight="1">
      <c r="A659" s="545"/>
      <c r="F659" s="546"/>
      <c r="I659" s="545"/>
      <c r="N659" s="115" t="s">
        <v>113</v>
      </c>
    </row>
    <row r="660" ht="15.75" customHeight="1">
      <c r="A660" s="545"/>
      <c r="F660" s="546"/>
      <c r="I660" s="545"/>
      <c r="N660" s="115" t="s">
        <v>113</v>
      </c>
    </row>
    <row r="661" ht="15.75" customHeight="1">
      <c r="A661" s="545"/>
      <c r="F661" s="546"/>
      <c r="I661" s="545"/>
      <c r="N661" s="115" t="s">
        <v>113</v>
      </c>
    </row>
    <row r="662" ht="15.75" customHeight="1">
      <c r="A662" s="545"/>
      <c r="F662" s="546"/>
      <c r="I662" s="545"/>
      <c r="N662" s="115" t="s">
        <v>113</v>
      </c>
    </row>
    <row r="663" ht="15.75" customHeight="1">
      <c r="A663" s="545"/>
      <c r="F663" s="546"/>
      <c r="I663" s="545"/>
      <c r="N663" s="115" t="s">
        <v>113</v>
      </c>
    </row>
    <row r="664" ht="15.75" customHeight="1">
      <c r="A664" s="545"/>
      <c r="F664" s="546"/>
      <c r="I664" s="545"/>
      <c r="N664" s="115" t="s">
        <v>113</v>
      </c>
    </row>
    <row r="665" ht="15.75" customHeight="1">
      <c r="A665" s="545"/>
      <c r="F665" s="546"/>
      <c r="I665" s="545"/>
      <c r="N665" s="115" t="s">
        <v>113</v>
      </c>
    </row>
    <row r="666" ht="15.75" customHeight="1">
      <c r="A666" s="545"/>
      <c r="F666" s="546"/>
      <c r="I666" s="545"/>
      <c r="N666" s="115" t="s">
        <v>113</v>
      </c>
    </row>
    <row r="667" ht="15.75" customHeight="1">
      <c r="A667" s="545"/>
      <c r="F667" s="546"/>
      <c r="I667" s="545"/>
      <c r="N667" s="115" t="s">
        <v>113</v>
      </c>
    </row>
    <row r="668" ht="15.75" customHeight="1">
      <c r="A668" s="545"/>
      <c r="F668" s="546"/>
      <c r="I668" s="545"/>
      <c r="N668" s="115" t="s">
        <v>113</v>
      </c>
    </row>
    <row r="669" ht="15.75" customHeight="1">
      <c r="A669" s="545"/>
      <c r="F669" s="546"/>
      <c r="I669" s="545"/>
      <c r="N669" s="115" t="s">
        <v>113</v>
      </c>
    </row>
    <row r="670" ht="15.75" customHeight="1">
      <c r="A670" s="545"/>
      <c r="F670" s="546"/>
      <c r="I670" s="545"/>
      <c r="N670" s="115" t="s">
        <v>113</v>
      </c>
    </row>
    <row r="671" ht="15.75" customHeight="1">
      <c r="A671" s="545"/>
      <c r="F671" s="546"/>
      <c r="I671" s="545"/>
      <c r="N671" s="115" t="s">
        <v>113</v>
      </c>
    </row>
    <row r="672" ht="15.75" customHeight="1">
      <c r="A672" s="545"/>
      <c r="F672" s="546"/>
      <c r="I672" s="545"/>
      <c r="N672" s="115" t="s">
        <v>113</v>
      </c>
    </row>
    <row r="673" ht="15.75" customHeight="1">
      <c r="A673" s="545"/>
      <c r="F673" s="546"/>
      <c r="I673" s="545"/>
      <c r="N673" s="115" t="s">
        <v>113</v>
      </c>
    </row>
    <row r="674" ht="15.75" customHeight="1">
      <c r="A674" s="545"/>
      <c r="F674" s="546"/>
      <c r="I674" s="545"/>
      <c r="N674" s="115" t="s">
        <v>113</v>
      </c>
    </row>
    <row r="675" ht="15.75" customHeight="1">
      <c r="A675" s="545"/>
      <c r="F675" s="546"/>
      <c r="I675" s="545"/>
      <c r="N675" s="115" t="s">
        <v>113</v>
      </c>
    </row>
    <row r="676" ht="15.75" customHeight="1">
      <c r="A676" s="545"/>
      <c r="F676" s="546"/>
      <c r="I676" s="545"/>
      <c r="N676" s="115" t="s">
        <v>113</v>
      </c>
    </row>
    <row r="677" ht="15.75" customHeight="1">
      <c r="A677" s="545"/>
      <c r="F677" s="546"/>
      <c r="I677" s="545"/>
      <c r="N677" s="115" t="s">
        <v>113</v>
      </c>
    </row>
    <row r="678" ht="15.75" customHeight="1">
      <c r="A678" s="545"/>
      <c r="F678" s="546"/>
      <c r="I678" s="545"/>
      <c r="N678" s="115" t="s">
        <v>113</v>
      </c>
    </row>
    <row r="679" ht="15.75" customHeight="1">
      <c r="A679" s="545"/>
      <c r="F679" s="546"/>
      <c r="I679" s="545"/>
      <c r="N679" s="115" t="s">
        <v>113</v>
      </c>
    </row>
    <row r="680" ht="15.75" customHeight="1">
      <c r="A680" s="545"/>
      <c r="F680" s="546"/>
      <c r="I680" s="545"/>
      <c r="N680" s="115" t="s">
        <v>113</v>
      </c>
    </row>
    <row r="681" ht="15.75" customHeight="1">
      <c r="A681" s="545"/>
      <c r="F681" s="546"/>
      <c r="I681" s="545"/>
      <c r="N681" s="115" t="s">
        <v>113</v>
      </c>
    </row>
    <row r="682" ht="15.75" customHeight="1">
      <c r="A682" s="545"/>
      <c r="F682" s="546"/>
      <c r="I682" s="545"/>
      <c r="N682" s="115" t="s">
        <v>113</v>
      </c>
    </row>
    <row r="683" ht="15.75" customHeight="1">
      <c r="A683" s="545"/>
      <c r="F683" s="546"/>
      <c r="I683" s="545"/>
      <c r="N683" s="115" t="s">
        <v>113</v>
      </c>
    </row>
    <row r="684" ht="15.75" customHeight="1">
      <c r="A684" s="545"/>
      <c r="F684" s="546"/>
      <c r="I684" s="545"/>
      <c r="N684" s="115" t="s">
        <v>113</v>
      </c>
    </row>
    <row r="685" ht="15.75" customHeight="1">
      <c r="A685" s="545"/>
      <c r="F685" s="546"/>
      <c r="I685" s="545"/>
      <c r="N685" s="115" t="s">
        <v>113</v>
      </c>
    </row>
    <row r="686" ht="15.75" customHeight="1">
      <c r="A686" s="545"/>
      <c r="F686" s="546"/>
      <c r="I686" s="545"/>
      <c r="N686" s="115" t="s">
        <v>113</v>
      </c>
    </row>
    <row r="687" ht="15.75" customHeight="1">
      <c r="A687" s="545"/>
      <c r="F687" s="546"/>
      <c r="I687" s="545"/>
      <c r="N687" s="115" t="s">
        <v>113</v>
      </c>
    </row>
    <row r="688" ht="15.75" customHeight="1">
      <c r="A688" s="545"/>
      <c r="F688" s="546"/>
      <c r="I688" s="545"/>
      <c r="N688" s="115" t="s">
        <v>113</v>
      </c>
    </row>
    <row r="689" ht="15.75" customHeight="1">
      <c r="A689" s="545"/>
      <c r="F689" s="546"/>
      <c r="I689" s="545"/>
      <c r="N689" s="115" t="s">
        <v>113</v>
      </c>
    </row>
    <row r="690" ht="15.75" customHeight="1">
      <c r="A690" s="545"/>
      <c r="F690" s="546"/>
      <c r="I690" s="545"/>
      <c r="N690" s="115" t="s">
        <v>113</v>
      </c>
    </row>
    <row r="691" ht="15.75" customHeight="1">
      <c r="A691" s="545"/>
      <c r="F691" s="546"/>
      <c r="I691" s="545"/>
      <c r="N691" s="115" t="s">
        <v>113</v>
      </c>
    </row>
    <row r="692" ht="15.75" customHeight="1">
      <c r="A692" s="545"/>
      <c r="F692" s="546"/>
      <c r="I692" s="545"/>
      <c r="N692" s="115" t="s">
        <v>113</v>
      </c>
    </row>
    <row r="693" ht="15.75" customHeight="1">
      <c r="A693" s="545"/>
      <c r="F693" s="546"/>
      <c r="I693" s="545"/>
      <c r="N693" s="115" t="s">
        <v>113</v>
      </c>
    </row>
    <row r="694" ht="15.75" customHeight="1">
      <c r="A694" s="545"/>
      <c r="F694" s="546"/>
      <c r="I694" s="545"/>
      <c r="N694" s="115" t="s">
        <v>113</v>
      </c>
    </row>
    <row r="695" ht="15.75" customHeight="1">
      <c r="A695" s="545"/>
      <c r="F695" s="546"/>
      <c r="I695" s="545"/>
      <c r="N695" s="115" t="s">
        <v>113</v>
      </c>
    </row>
    <row r="696" ht="15.75" customHeight="1">
      <c r="A696" s="545"/>
      <c r="F696" s="546"/>
      <c r="I696" s="545"/>
      <c r="N696" s="115" t="s">
        <v>113</v>
      </c>
    </row>
    <row r="697" ht="15.75" customHeight="1">
      <c r="A697" s="545"/>
      <c r="F697" s="546"/>
      <c r="I697" s="545"/>
      <c r="N697" s="115" t="s">
        <v>113</v>
      </c>
    </row>
    <row r="698" ht="15.75" customHeight="1">
      <c r="A698" s="545"/>
      <c r="F698" s="546"/>
      <c r="I698" s="545"/>
      <c r="N698" s="115" t="s">
        <v>113</v>
      </c>
    </row>
    <row r="699" ht="15.75" customHeight="1">
      <c r="A699" s="545"/>
      <c r="F699" s="546"/>
      <c r="I699" s="545"/>
      <c r="N699" s="115" t="s">
        <v>113</v>
      </c>
    </row>
    <row r="700" ht="15.75" customHeight="1">
      <c r="A700" s="545"/>
      <c r="F700" s="546"/>
      <c r="I700" s="545"/>
      <c r="N700" s="115" t="s">
        <v>113</v>
      </c>
    </row>
    <row r="701" ht="15.75" customHeight="1">
      <c r="A701" s="545"/>
      <c r="F701" s="546"/>
      <c r="I701" s="545"/>
      <c r="N701" s="115" t="s">
        <v>113</v>
      </c>
    </row>
    <row r="702" ht="15.75" customHeight="1">
      <c r="A702" s="545"/>
      <c r="F702" s="546"/>
      <c r="I702" s="545"/>
      <c r="N702" s="115" t="s">
        <v>113</v>
      </c>
    </row>
    <row r="703" ht="15.75" customHeight="1">
      <c r="A703" s="545"/>
      <c r="F703" s="546"/>
      <c r="I703" s="545"/>
      <c r="N703" s="115" t="s">
        <v>113</v>
      </c>
    </row>
    <row r="704" ht="15.75" customHeight="1">
      <c r="A704" s="545"/>
      <c r="F704" s="546"/>
      <c r="I704" s="545"/>
      <c r="N704" s="115" t="s">
        <v>113</v>
      </c>
    </row>
    <row r="705" ht="15.75" customHeight="1">
      <c r="A705" s="545"/>
      <c r="F705" s="546"/>
      <c r="I705" s="545"/>
      <c r="N705" s="115" t="s">
        <v>113</v>
      </c>
    </row>
    <row r="706" ht="15.75" customHeight="1">
      <c r="A706" s="545"/>
      <c r="F706" s="546"/>
      <c r="I706" s="545"/>
      <c r="N706" s="115" t="s">
        <v>113</v>
      </c>
    </row>
    <row r="707" ht="15.75" customHeight="1">
      <c r="A707" s="545"/>
      <c r="F707" s="546"/>
      <c r="I707" s="545"/>
      <c r="N707" s="115" t="s">
        <v>113</v>
      </c>
    </row>
    <row r="708" ht="15.75" customHeight="1">
      <c r="A708" s="545"/>
      <c r="F708" s="546"/>
      <c r="I708" s="545"/>
      <c r="N708" s="115" t="s">
        <v>113</v>
      </c>
    </row>
    <row r="709" ht="15.75" customHeight="1">
      <c r="A709" s="545"/>
      <c r="F709" s="546"/>
      <c r="I709" s="545"/>
      <c r="N709" s="115" t="s">
        <v>113</v>
      </c>
    </row>
    <row r="710" ht="15.75" customHeight="1">
      <c r="A710" s="545"/>
      <c r="F710" s="546"/>
      <c r="I710" s="545"/>
      <c r="N710" s="115" t="s">
        <v>113</v>
      </c>
    </row>
    <row r="711" ht="15.75" customHeight="1">
      <c r="A711" s="545"/>
      <c r="F711" s="546"/>
      <c r="I711" s="545"/>
      <c r="N711" s="115" t="s">
        <v>113</v>
      </c>
    </row>
    <row r="712" ht="15.75" customHeight="1">
      <c r="A712" s="545"/>
      <c r="F712" s="546"/>
      <c r="I712" s="545"/>
      <c r="N712" s="115" t="s">
        <v>113</v>
      </c>
    </row>
    <row r="713" ht="15.75" customHeight="1">
      <c r="A713" s="545"/>
      <c r="F713" s="546"/>
      <c r="I713" s="545"/>
      <c r="N713" s="115" t="s">
        <v>113</v>
      </c>
    </row>
    <row r="714" ht="15.75" customHeight="1">
      <c r="A714" s="545"/>
      <c r="F714" s="546"/>
      <c r="I714" s="545"/>
      <c r="N714" s="115" t="s">
        <v>113</v>
      </c>
    </row>
    <row r="715" ht="15.75" customHeight="1">
      <c r="A715" s="545"/>
      <c r="F715" s="546"/>
      <c r="I715" s="545"/>
      <c r="N715" s="115" t="s">
        <v>113</v>
      </c>
    </row>
    <row r="716" ht="15.75" customHeight="1">
      <c r="A716" s="545"/>
      <c r="F716" s="546"/>
      <c r="I716" s="545"/>
      <c r="N716" s="115" t="s">
        <v>113</v>
      </c>
    </row>
    <row r="717" ht="15.75" customHeight="1">
      <c r="A717" s="545"/>
      <c r="F717" s="546"/>
      <c r="I717" s="545"/>
      <c r="N717" s="115" t="s">
        <v>113</v>
      </c>
    </row>
    <row r="718" ht="15.75" customHeight="1">
      <c r="A718" s="545"/>
      <c r="F718" s="546"/>
      <c r="I718" s="545"/>
      <c r="N718" s="115" t="s">
        <v>113</v>
      </c>
    </row>
    <row r="719" ht="15.75" customHeight="1">
      <c r="A719" s="545"/>
      <c r="F719" s="546"/>
      <c r="I719" s="545"/>
      <c r="N719" s="115" t="s">
        <v>113</v>
      </c>
    </row>
    <row r="720" ht="15.75" customHeight="1">
      <c r="A720" s="545"/>
      <c r="F720" s="546"/>
      <c r="I720" s="545"/>
      <c r="N720" s="115" t="s">
        <v>113</v>
      </c>
    </row>
    <row r="721" ht="15.75" customHeight="1">
      <c r="A721" s="545"/>
      <c r="F721" s="546"/>
      <c r="I721" s="545"/>
      <c r="N721" s="115" t="s">
        <v>113</v>
      </c>
    </row>
    <row r="722" ht="15.75" customHeight="1">
      <c r="A722" s="545"/>
      <c r="F722" s="546"/>
      <c r="I722" s="545"/>
      <c r="N722" s="115" t="s">
        <v>113</v>
      </c>
    </row>
    <row r="723" ht="15.75" customHeight="1">
      <c r="A723" s="545"/>
      <c r="F723" s="546"/>
      <c r="I723" s="545"/>
      <c r="N723" s="115" t="s">
        <v>113</v>
      </c>
    </row>
    <row r="724" ht="15.75" customHeight="1">
      <c r="A724" s="545"/>
      <c r="F724" s="546"/>
      <c r="I724" s="545"/>
      <c r="N724" s="115" t="s">
        <v>113</v>
      </c>
    </row>
    <row r="725" ht="15.75" customHeight="1">
      <c r="A725" s="545"/>
      <c r="F725" s="546"/>
      <c r="I725" s="545"/>
      <c r="N725" s="115" t="s">
        <v>113</v>
      </c>
    </row>
    <row r="726" ht="15.75" customHeight="1">
      <c r="A726" s="545"/>
      <c r="F726" s="546"/>
      <c r="I726" s="545"/>
      <c r="N726" s="115" t="s">
        <v>113</v>
      </c>
    </row>
    <row r="727" ht="15.75" customHeight="1">
      <c r="A727" s="545"/>
      <c r="F727" s="546"/>
      <c r="I727" s="545"/>
      <c r="N727" s="115" t="s">
        <v>113</v>
      </c>
    </row>
    <row r="728" ht="15.75" customHeight="1">
      <c r="A728" s="545"/>
      <c r="F728" s="546"/>
      <c r="I728" s="545"/>
      <c r="N728" s="115" t="s">
        <v>113</v>
      </c>
    </row>
    <row r="729" ht="15.75" customHeight="1">
      <c r="A729" s="545"/>
      <c r="F729" s="546"/>
      <c r="I729" s="545"/>
      <c r="N729" s="115" t="s">
        <v>113</v>
      </c>
    </row>
    <row r="730" ht="15.75" customHeight="1">
      <c r="A730" s="545"/>
      <c r="F730" s="546"/>
      <c r="I730" s="545"/>
      <c r="N730" s="115" t="s">
        <v>113</v>
      </c>
    </row>
    <row r="731" ht="15.75" customHeight="1">
      <c r="A731" s="545"/>
      <c r="F731" s="546"/>
      <c r="I731" s="545"/>
      <c r="N731" s="115" t="s">
        <v>113</v>
      </c>
    </row>
    <row r="732" ht="15.75" customHeight="1">
      <c r="A732" s="545"/>
      <c r="F732" s="546"/>
      <c r="I732" s="545"/>
      <c r="N732" s="115" t="s">
        <v>113</v>
      </c>
    </row>
    <row r="733" ht="15.75" customHeight="1">
      <c r="A733" s="545"/>
      <c r="F733" s="546"/>
      <c r="I733" s="545"/>
      <c r="N733" s="115" t="s">
        <v>113</v>
      </c>
    </row>
    <row r="734" ht="15.75" customHeight="1">
      <c r="A734" s="545"/>
      <c r="F734" s="546"/>
      <c r="I734" s="545"/>
      <c r="N734" s="115" t="s">
        <v>113</v>
      </c>
    </row>
    <row r="735" ht="15.75" customHeight="1">
      <c r="A735" s="545"/>
      <c r="F735" s="546"/>
      <c r="I735" s="545"/>
      <c r="N735" s="115" t="s">
        <v>113</v>
      </c>
    </row>
    <row r="736" ht="15.75" customHeight="1">
      <c r="A736" s="545"/>
      <c r="F736" s="546"/>
      <c r="I736" s="545"/>
      <c r="N736" s="115" t="s">
        <v>113</v>
      </c>
    </row>
    <row r="737" ht="15.75" customHeight="1">
      <c r="A737" s="545"/>
      <c r="F737" s="546"/>
      <c r="I737" s="545"/>
      <c r="N737" s="115" t="s">
        <v>113</v>
      </c>
    </row>
    <row r="738" ht="15.75" customHeight="1">
      <c r="A738" s="545"/>
      <c r="F738" s="546"/>
      <c r="I738" s="545"/>
      <c r="N738" s="115" t="s">
        <v>113</v>
      </c>
    </row>
    <row r="739" ht="15.75" customHeight="1">
      <c r="A739" s="545"/>
      <c r="F739" s="546"/>
      <c r="I739" s="545"/>
      <c r="N739" s="115" t="s">
        <v>113</v>
      </c>
    </row>
    <row r="740" ht="15.75" customHeight="1">
      <c r="A740" s="545"/>
      <c r="F740" s="546"/>
      <c r="I740" s="545"/>
      <c r="N740" s="115" t="s">
        <v>113</v>
      </c>
    </row>
    <row r="741" ht="15.75" customHeight="1">
      <c r="A741" s="545"/>
      <c r="F741" s="546"/>
      <c r="I741" s="545"/>
      <c r="N741" s="115" t="s">
        <v>113</v>
      </c>
    </row>
    <row r="742" ht="15.75" customHeight="1">
      <c r="A742" s="545"/>
      <c r="F742" s="546"/>
      <c r="I742" s="545"/>
      <c r="N742" s="115" t="s">
        <v>113</v>
      </c>
    </row>
    <row r="743" ht="15.75" customHeight="1">
      <c r="A743" s="545"/>
      <c r="F743" s="546"/>
      <c r="I743" s="545"/>
      <c r="N743" s="115" t="s">
        <v>113</v>
      </c>
    </row>
    <row r="744" ht="15.75" customHeight="1">
      <c r="A744" s="545"/>
      <c r="F744" s="546"/>
      <c r="I744" s="545"/>
      <c r="N744" s="115" t="s">
        <v>113</v>
      </c>
    </row>
    <row r="745" ht="15.75" customHeight="1">
      <c r="A745" s="545"/>
      <c r="F745" s="546"/>
      <c r="I745" s="545"/>
      <c r="N745" s="115" t="s">
        <v>113</v>
      </c>
    </row>
    <row r="746" ht="15.75" customHeight="1">
      <c r="A746" s="545"/>
      <c r="F746" s="546"/>
      <c r="I746" s="545"/>
      <c r="N746" s="115" t="s">
        <v>113</v>
      </c>
    </row>
    <row r="747" ht="15.75" customHeight="1">
      <c r="A747" s="545"/>
      <c r="F747" s="546"/>
      <c r="I747" s="545"/>
      <c r="N747" s="115" t="s">
        <v>113</v>
      </c>
    </row>
    <row r="748" ht="15.75" customHeight="1">
      <c r="A748" s="545"/>
      <c r="F748" s="546"/>
      <c r="I748" s="545"/>
      <c r="N748" s="115" t="s">
        <v>113</v>
      </c>
    </row>
    <row r="749" ht="15.75" customHeight="1">
      <c r="A749" s="545"/>
      <c r="F749" s="546"/>
      <c r="I749" s="545"/>
      <c r="N749" s="115" t="s">
        <v>113</v>
      </c>
    </row>
    <row r="750" ht="15.75" customHeight="1">
      <c r="A750" s="545"/>
      <c r="F750" s="546"/>
      <c r="I750" s="545"/>
      <c r="N750" s="115" t="s">
        <v>113</v>
      </c>
    </row>
    <row r="751" ht="15.75" customHeight="1">
      <c r="A751" s="545"/>
      <c r="F751" s="546"/>
      <c r="I751" s="545"/>
      <c r="N751" s="115" t="s">
        <v>113</v>
      </c>
    </row>
    <row r="752" ht="15.75" customHeight="1">
      <c r="A752" s="545"/>
      <c r="F752" s="546"/>
      <c r="I752" s="545"/>
      <c r="N752" s="115" t="s">
        <v>113</v>
      </c>
    </row>
    <row r="753" ht="15.75" customHeight="1">
      <c r="A753" s="545"/>
      <c r="F753" s="546"/>
      <c r="I753" s="545"/>
      <c r="N753" s="115" t="s">
        <v>113</v>
      </c>
    </row>
    <row r="754" ht="15.75" customHeight="1">
      <c r="A754" s="545"/>
      <c r="F754" s="546"/>
      <c r="I754" s="545"/>
      <c r="N754" s="115" t="s">
        <v>113</v>
      </c>
    </row>
    <row r="755" ht="15.75" customHeight="1">
      <c r="A755" s="545"/>
      <c r="F755" s="546"/>
      <c r="I755" s="545"/>
      <c r="N755" s="115" t="s">
        <v>113</v>
      </c>
    </row>
    <row r="756" ht="15.75" customHeight="1">
      <c r="A756" s="545"/>
      <c r="F756" s="546"/>
      <c r="I756" s="545"/>
      <c r="N756" s="115" t="s">
        <v>113</v>
      </c>
    </row>
    <row r="757" ht="15.75" customHeight="1">
      <c r="A757" s="545"/>
      <c r="F757" s="546"/>
      <c r="I757" s="545"/>
      <c r="N757" s="115" t="s">
        <v>113</v>
      </c>
    </row>
    <row r="758" ht="15.75" customHeight="1">
      <c r="A758" s="545"/>
      <c r="F758" s="546"/>
      <c r="I758" s="545"/>
      <c r="N758" s="115" t="s">
        <v>113</v>
      </c>
    </row>
    <row r="759" ht="15.75" customHeight="1">
      <c r="A759" s="545"/>
      <c r="F759" s="546"/>
      <c r="I759" s="545"/>
      <c r="N759" s="115" t="s">
        <v>113</v>
      </c>
    </row>
    <row r="760" ht="15.75" customHeight="1">
      <c r="A760" s="545"/>
      <c r="F760" s="546"/>
      <c r="I760" s="545"/>
      <c r="N760" s="115" t="s">
        <v>113</v>
      </c>
    </row>
    <row r="761" ht="15.75" customHeight="1">
      <c r="A761" s="545"/>
      <c r="F761" s="546"/>
      <c r="I761" s="545"/>
      <c r="N761" s="115" t="s">
        <v>113</v>
      </c>
    </row>
    <row r="762" ht="15.75" customHeight="1">
      <c r="A762" s="545"/>
      <c r="F762" s="546"/>
      <c r="I762" s="545"/>
      <c r="N762" s="115" t="s">
        <v>113</v>
      </c>
    </row>
    <row r="763" ht="15.75" customHeight="1">
      <c r="A763" s="545"/>
      <c r="F763" s="546"/>
      <c r="I763" s="545"/>
      <c r="N763" s="115" t="s">
        <v>113</v>
      </c>
    </row>
    <row r="764" ht="15.75" customHeight="1">
      <c r="A764" s="545"/>
      <c r="F764" s="546"/>
      <c r="I764" s="545"/>
      <c r="N764" s="115" t="s">
        <v>113</v>
      </c>
    </row>
    <row r="765" ht="15.75" customHeight="1">
      <c r="A765" s="545"/>
      <c r="F765" s="546"/>
      <c r="I765" s="545"/>
      <c r="N765" s="115" t="s">
        <v>113</v>
      </c>
    </row>
    <row r="766" ht="15.75" customHeight="1">
      <c r="A766" s="545"/>
      <c r="F766" s="546"/>
      <c r="I766" s="545"/>
      <c r="N766" s="115" t="s">
        <v>113</v>
      </c>
    </row>
    <row r="767" ht="15.75" customHeight="1">
      <c r="A767" s="545"/>
      <c r="F767" s="546"/>
      <c r="I767" s="545"/>
      <c r="N767" s="115" t="s">
        <v>113</v>
      </c>
    </row>
    <row r="768" ht="15.75" customHeight="1">
      <c r="A768" s="545"/>
      <c r="F768" s="546"/>
      <c r="I768" s="545"/>
      <c r="N768" s="115" t="s">
        <v>113</v>
      </c>
    </row>
    <row r="769" ht="15.75" customHeight="1">
      <c r="A769" s="545"/>
      <c r="F769" s="546"/>
      <c r="I769" s="545"/>
      <c r="N769" s="115" t="s">
        <v>113</v>
      </c>
    </row>
    <row r="770" ht="15.75" customHeight="1">
      <c r="A770" s="545"/>
      <c r="F770" s="546"/>
      <c r="I770" s="545"/>
      <c r="N770" s="115" t="s">
        <v>113</v>
      </c>
    </row>
    <row r="771" ht="15.75" customHeight="1">
      <c r="A771" s="545"/>
      <c r="F771" s="546"/>
      <c r="I771" s="545"/>
      <c r="N771" s="115" t="s">
        <v>113</v>
      </c>
    </row>
    <row r="772" ht="15.75" customHeight="1">
      <c r="A772" s="545"/>
      <c r="F772" s="546"/>
      <c r="I772" s="545"/>
      <c r="N772" s="115" t="s">
        <v>113</v>
      </c>
    </row>
    <row r="773" ht="15.75" customHeight="1">
      <c r="A773" s="545"/>
      <c r="F773" s="546"/>
      <c r="I773" s="545"/>
      <c r="N773" s="115" t="s">
        <v>113</v>
      </c>
    </row>
    <row r="774" ht="15.75" customHeight="1">
      <c r="A774" s="545"/>
      <c r="F774" s="546"/>
      <c r="I774" s="545"/>
      <c r="N774" s="115" t="s">
        <v>113</v>
      </c>
    </row>
    <row r="775" ht="15.75" customHeight="1">
      <c r="A775" s="545"/>
      <c r="F775" s="546"/>
      <c r="I775" s="545"/>
      <c r="N775" s="115" t="s">
        <v>113</v>
      </c>
    </row>
    <row r="776" ht="15.75" customHeight="1">
      <c r="A776" s="545"/>
      <c r="F776" s="546"/>
      <c r="I776" s="545"/>
      <c r="N776" s="115" t="s">
        <v>113</v>
      </c>
    </row>
    <row r="777" ht="15.75" customHeight="1">
      <c r="A777" s="545"/>
      <c r="F777" s="546"/>
      <c r="I777" s="545"/>
      <c r="N777" s="115" t="s">
        <v>113</v>
      </c>
    </row>
    <row r="778" ht="15.75" customHeight="1">
      <c r="A778" s="545"/>
      <c r="F778" s="546"/>
      <c r="I778" s="545"/>
      <c r="N778" s="115" t="s">
        <v>113</v>
      </c>
    </row>
    <row r="779" ht="15.75" customHeight="1">
      <c r="A779" s="545"/>
      <c r="F779" s="546"/>
      <c r="I779" s="545"/>
      <c r="N779" s="115" t="s">
        <v>113</v>
      </c>
    </row>
    <row r="780" ht="15.75" customHeight="1">
      <c r="A780" s="545"/>
      <c r="F780" s="546"/>
      <c r="I780" s="545"/>
      <c r="N780" s="115" t="s">
        <v>113</v>
      </c>
    </row>
    <row r="781" ht="15.75" customHeight="1">
      <c r="A781" s="545"/>
      <c r="F781" s="546"/>
      <c r="I781" s="545"/>
      <c r="N781" s="115" t="s">
        <v>113</v>
      </c>
    </row>
    <row r="782" ht="15.75" customHeight="1">
      <c r="A782" s="545"/>
      <c r="F782" s="546"/>
      <c r="I782" s="545"/>
      <c r="N782" s="115" t="s">
        <v>113</v>
      </c>
    </row>
    <row r="783" ht="15.75" customHeight="1">
      <c r="A783" s="545"/>
      <c r="F783" s="546"/>
      <c r="I783" s="545"/>
      <c r="N783" s="115" t="s">
        <v>113</v>
      </c>
    </row>
    <row r="784" ht="15.75" customHeight="1">
      <c r="A784" s="545"/>
      <c r="F784" s="546"/>
      <c r="I784" s="545"/>
      <c r="N784" s="115" t="s">
        <v>113</v>
      </c>
    </row>
    <row r="785" ht="15.75" customHeight="1">
      <c r="A785" s="545"/>
      <c r="F785" s="546"/>
      <c r="I785" s="545"/>
      <c r="N785" s="115" t="s">
        <v>113</v>
      </c>
    </row>
    <row r="786" ht="15.75" customHeight="1">
      <c r="A786" s="545"/>
      <c r="F786" s="546"/>
      <c r="I786" s="545"/>
      <c r="N786" s="115" t="s">
        <v>113</v>
      </c>
    </row>
    <row r="787" ht="15.75" customHeight="1">
      <c r="A787" s="545"/>
      <c r="F787" s="546"/>
      <c r="I787" s="545"/>
      <c r="N787" s="115" t="s">
        <v>113</v>
      </c>
    </row>
    <row r="788" ht="15.75" customHeight="1">
      <c r="A788" s="545"/>
      <c r="F788" s="546"/>
      <c r="I788" s="545"/>
      <c r="N788" s="115" t="s">
        <v>113</v>
      </c>
    </row>
    <row r="789" ht="15.75" customHeight="1">
      <c r="A789" s="545"/>
      <c r="F789" s="546"/>
      <c r="I789" s="545"/>
      <c r="N789" s="115" t="s">
        <v>113</v>
      </c>
    </row>
    <row r="790" ht="15.75" customHeight="1">
      <c r="A790" s="545"/>
      <c r="F790" s="546"/>
      <c r="I790" s="545"/>
      <c r="N790" s="115" t="s">
        <v>113</v>
      </c>
    </row>
    <row r="791" ht="15.75" customHeight="1">
      <c r="A791" s="545"/>
      <c r="F791" s="546"/>
      <c r="I791" s="545"/>
      <c r="N791" s="115" t="s">
        <v>113</v>
      </c>
    </row>
    <row r="792" ht="15.75" customHeight="1">
      <c r="A792" s="545"/>
      <c r="F792" s="546"/>
      <c r="I792" s="545"/>
      <c r="N792" s="115" t="s">
        <v>113</v>
      </c>
    </row>
    <row r="793" ht="15.75" customHeight="1">
      <c r="A793" s="545"/>
      <c r="F793" s="546"/>
      <c r="I793" s="545"/>
      <c r="N793" s="115" t="s">
        <v>113</v>
      </c>
    </row>
    <row r="794" ht="15.75" customHeight="1">
      <c r="A794" s="545"/>
      <c r="F794" s="546"/>
      <c r="I794" s="545"/>
      <c r="N794" s="115" t="s">
        <v>113</v>
      </c>
    </row>
    <row r="795" ht="15.75" customHeight="1">
      <c r="A795" s="545"/>
      <c r="F795" s="546"/>
      <c r="I795" s="545"/>
      <c r="N795" s="115" t="s">
        <v>113</v>
      </c>
    </row>
    <row r="796" ht="15.75" customHeight="1">
      <c r="A796" s="545"/>
      <c r="F796" s="546"/>
      <c r="I796" s="545"/>
      <c r="N796" s="115" t="s">
        <v>113</v>
      </c>
    </row>
    <row r="797" ht="15.75" customHeight="1">
      <c r="A797" s="545"/>
      <c r="F797" s="546"/>
      <c r="I797" s="545"/>
      <c r="N797" s="115" t="s">
        <v>113</v>
      </c>
    </row>
    <row r="798" ht="15.75" customHeight="1">
      <c r="A798" s="545"/>
      <c r="F798" s="546"/>
      <c r="I798" s="545"/>
      <c r="N798" s="115" t="s">
        <v>113</v>
      </c>
    </row>
    <row r="799" ht="15.75" customHeight="1">
      <c r="A799" s="545"/>
      <c r="F799" s="546"/>
      <c r="I799" s="545"/>
      <c r="N799" s="115" t="s">
        <v>113</v>
      </c>
    </row>
    <row r="800" ht="15.75" customHeight="1">
      <c r="A800" s="545"/>
      <c r="F800" s="546"/>
      <c r="I800" s="545"/>
      <c r="N800" s="115" t="s">
        <v>113</v>
      </c>
    </row>
    <row r="801" ht="15.75" customHeight="1">
      <c r="A801" s="545"/>
      <c r="F801" s="546"/>
      <c r="I801" s="545"/>
      <c r="N801" s="115" t="s">
        <v>113</v>
      </c>
    </row>
    <row r="802" ht="15.75" customHeight="1">
      <c r="A802" s="545"/>
      <c r="F802" s="546"/>
      <c r="I802" s="545"/>
      <c r="N802" s="115" t="s">
        <v>113</v>
      </c>
    </row>
    <row r="803" ht="15.75" customHeight="1">
      <c r="A803" s="545"/>
      <c r="F803" s="546"/>
      <c r="I803" s="545"/>
      <c r="N803" s="115" t="s">
        <v>113</v>
      </c>
    </row>
    <row r="804" ht="15.75" customHeight="1">
      <c r="A804" s="545"/>
      <c r="F804" s="546"/>
      <c r="I804" s="545"/>
      <c r="N804" s="115" t="s">
        <v>113</v>
      </c>
    </row>
    <row r="805" ht="15.75" customHeight="1">
      <c r="A805" s="545"/>
      <c r="F805" s="546"/>
      <c r="I805" s="545"/>
      <c r="N805" s="115" t="s">
        <v>113</v>
      </c>
    </row>
    <row r="806" ht="15.75" customHeight="1">
      <c r="A806" s="545"/>
      <c r="F806" s="546"/>
      <c r="I806" s="545"/>
      <c r="N806" s="115" t="s">
        <v>113</v>
      </c>
    </row>
    <row r="807" ht="15.75" customHeight="1">
      <c r="A807" s="545"/>
      <c r="F807" s="546"/>
      <c r="I807" s="545"/>
      <c r="N807" s="115" t="s">
        <v>113</v>
      </c>
    </row>
    <row r="808" ht="15.75" customHeight="1">
      <c r="A808" s="545"/>
      <c r="F808" s="546"/>
      <c r="I808" s="545"/>
      <c r="N808" s="115" t="s">
        <v>113</v>
      </c>
    </row>
    <row r="809" ht="15.75" customHeight="1">
      <c r="A809" s="545"/>
      <c r="F809" s="546"/>
      <c r="I809" s="545"/>
      <c r="N809" s="115" t="s">
        <v>113</v>
      </c>
    </row>
    <row r="810" ht="15.75" customHeight="1">
      <c r="A810" s="545"/>
      <c r="F810" s="546"/>
      <c r="I810" s="545"/>
      <c r="N810" s="115" t="s">
        <v>113</v>
      </c>
    </row>
    <row r="811" ht="15.75" customHeight="1">
      <c r="A811" s="545"/>
      <c r="F811" s="546"/>
      <c r="I811" s="545"/>
      <c r="N811" s="115" t="s">
        <v>113</v>
      </c>
    </row>
    <row r="812" ht="15.75" customHeight="1">
      <c r="A812" s="545"/>
      <c r="F812" s="546"/>
      <c r="I812" s="545"/>
      <c r="N812" s="115" t="s">
        <v>113</v>
      </c>
    </row>
    <row r="813" ht="15.75" customHeight="1">
      <c r="A813" s="545"/>
      <c r="F813" s="546"/>
      <c r="I813" s="545"/>
      <c r="N813" s="115" t="s">
        <v>113</v>
      </c>
    </row>
    <row r="814" ht="15.75" customHeight="1">
      <c r="A814" s="545"/>
      <c r="F814" s="546"/>
      <c r="I814" s="545"/>
      <c r="N814" s="115" t="s">
        <v>113</v>
      </c>
    </row>
    <row r="815" ht="15.75" customHeight="1">
      <c r="A815" s="545"/>
      <c r="F815" s="546"/>
      <c r="I815" s="545"/>
      <c r="N815" s="115" t="s">
        <v>113</v>
      </c>
    </row>
    <row r="816" ht="15.75" customHeight="1">
      <c r="A816" s="545"/>
      <c r="F816" s="546"/>
      <c r="I816" s="545"/>
      <c r="N816" s="115" t="s">
        <v>113</v>
      </c>
    </row>
    <row r="817" ht="15.75" customHeight="1">
      <c r="A817" s="545"/>
      <c r="F817" s="546"/>
      <c r="I817" s="545"/>
      <c r="N817" s="115" t="s">
        <v>113</v>
      </c>
    </row>
    <row r="818" ht="15.75" customHeight="1">
      <c r="A818" s="545"/>
      <c r="F818" s="546"/>
      <c r="I818" s="545"/>
      <c r="N818" s="115" t="s">
        <v>113</v>
      </c>
    </row>
    <row r="819" ht="15.75" customHeight="1">
      <c r="A819" s="545"/>
      <c r="F819" s="546"/>
      <c r="I819" s="545"/>
      <c r="N819" s="115" t="s">
        <v>113</v>
      </c>
    </row>
    <row r="820" ht="15.75" customHeight="1">
      <c r="A820" s="545"/>
      <c r="F820" s="546"/>
      <c r="I820" s="545"/>
      <c r="N820" s="115" t="s">
        <v>113</v>
      </c>
    </row>
    <row r="821" ht="15.75" customHeight="1">
      <c r="A821" s="545"/>
      <c r="F821" s="546"/>
      <c r="I821" s="545"/>
      <c r="N821" s="115" t="s">
        <v>113</v>
      </c>
    </row>
    <row r="822" ht="15.75" customHeight="1">
      <c r="A822" s="545"/>
      <c r="F822" s="546"/>
      <c r="I822" s="545"/>
      <c r="N822" s="115" t="s">
        <v>113</v>
      </c>
    </row>
    <row r="823" ht="15.75" customHeight="1">
      <c r="A823" s="545"/>
      <c r="F823" s="546"/>
      <c r="I823" s="545"/>
      <c r="N823" s="115" t="s">
        <v>113</v>
      </c>
    </row>
    <row r="824" ht="15.75" customHeight="1">
      <c r="A824" s="545"/>
      <c r="F824" s="546"/>
      <c r="I824" s="545"/>
      <c r="N824" s="115" t="s">
        <v>113</v>
      </c>
    </row>
    <row r="825" ht="15.75" customHeight="1">
      <c r="A825" s="545"/>
      <c r="F825" s="546"/>
      <c r="I825" s="545"/>
      <c r="N825" s="115" t="s">
        <v>113</v>
      </c>
    </row>
    <row r="826" ht="15.75" customHeight="1">
      <c r="A826" s="545"/>
      <c r="F826" s="546"/>
      <c r="I826" s="545"/>
      <c r="N826" s="115" t="s">
        <v>113</v>
      </c>
    </row>
    <row r="827" ht="15.75" customHeight="1">
      <c r="A827" s="545"/>
      <c r="F827" s="546"/>
      <c r="I827" s="545"/>
      <c r="N827" s="115" t="s">
        <v>113</v>
      </c>
    </row>
    <row r="828" ht="15.75" customHeight="1">
      <c r="A828" s="545"/>
      <c r="F828" s="546"/>
      <c r="I828" s="545"/>
      <c r="N828" s="115" t="s">
        <v>113</v>
      </c>
    </row>
    <row r="829" ht="15.75" customHeight="1">
      <c r="A829" s="545"/>
      <c r="F829" s="546"/>
      <c r="I829" s="545"/>
      <c r="N829" s="115" t="s">
        <v>113</v>
      </c>
    </row>
    <row r="830" ht="15.75" customHeight="1">
      <c r="A830" s="545"/>
      <c r="F830" s="546"/>
      <c r="I830" s="545"/>
      <c r="N830" s="115" t="s">
        <v>113</v>
      </c>
    </row>
    <row r="831" ht="15.75" customHeight="1">
      <c r="A831" s="545"/>
      <c r="F831" s="546"/>
      <c r="I831" s="545"/>
      <c r="N831" s="115" t="s">
        <v>113</v>
      </c>
    </row>
    <row r="832" ht="15.75" customHeight="1">
      <c r="A832" s="545"/>
      <c r="F832" s="546"/>
      <c r="I832" s="545"/>
      <c r="N832" s="115" t="s">
        <v>113</v>
      </c>
    </row>
    <row r="833" ht="15.75" customHeight="1">
      <c r="A833" s="545"/>
      <c r="F833" s="546"/>
      <c r="I833" s="545"/>
      <c r="N833" s="115" t="s">
        <v>113</v>
      </c>
    </row>
    <row r="834" ht="15.75" customHeight="1">
      <c r="A834" s="545"/>
      <c r="F834" s="546"/>
      <c r="I834" s="545"/>
      <c r="N834" s="115" t="s">
        <v>113</v>
      </c>
    </row>
    <row r="835" ht="15.75" customHeight="1">
      <c r="A835" s="545"/>
      <c r="F835" s="546"/>
      <c r="I835" s="545"/>
      <c r="N835" s="115" t="s">
        <v>113</v>
      </c>
    </row>
    <row r="836" ht="15.75" customHeight="1">
      <c r="A836" s="545"/>
      <c r="F836" s="546"/>
      <c r="I836" s="545"/>
      <c r="N836" s="115" t="s">
        <v>113</v>
      </c>
    </row>
    <row r="837" ht="15.75" customHeight="1">
      <c r="A837" s="545"/>
      <c r="F837" s="546"/>
      <c r="I837" s="545"/>
      <c r="N837" s="115" t="s">
        <v>113</v>
      </c>
    </row>
    <row r="838" ht="15.75" customHeight="1">
      <c r="A838" s="545"/>
      <c r="F838" s="546"/>
      <c r="I838" s="545"/>
      <c r="N838" s="115" t="s">
        <v>113</v>
      </c>
    </row>
    <row r="839" ht="15.75" customHeight="1">
      <c r="A839" s="545"/>
      <c r="F839" s="546"/>
      <c r="I839" s="545"/>
      <c r="N839" s="115" t="s">
        <v>113</v>
      </c>
    </row>
    <row r="840" ht="15.75" customHeight="1">
      <c r="A840" s="545"/>
      <c r="F840" s="546"/>
      <c r="I840" s="545"/>
      <c r="N840" s="115" t="s">
        <v>113</v>
      </c>
    </row>
    <row r="841" ht="15.75" customHeight="1">
      <c r="A841" s="545"/>
      <c r="F841" s="546"/>
      <c r="I841" s="545"/>
      <c r="N841" s="115" t="s">
        <v>113</v>
      </c>
    </row>
    <row r="842" ht="15.75" customHeight="1">
      <c r="A842" s="545"/>
      <c r="F842" s="546"/>
      <c r="I842" s="545"/>
      <c r="N842" s="115" t="s">
        <v>113</v>
      </c>
    </row>
    <row r="843" ht="15.75" customHeight="1">
      <c r="A843" s="545"/>
      <c r="F843" s="546"/>
      <c r="I843" s="545"/>
      <c r="N843" s="115" t="s">
        <v>113</v>
      </c>
    </row>
    <row r="844" ht="15.75" customHeight="1">
      <c r="A844" s="545"/>
      <c r="F844" s="546"/>
      <c r="I844" s="545"/>
      <c r="N844" s="115" t="s">
        <v>113</v>
      </c>
    </row>
    <row r="845" ht="15.75" customHeight="1">
      <c r="A845" s="545"/>
      <c r="F845" s="546"/>
      <c r="I845" s="545"/>
      <c r="N845" s="115" t="s">
        <v>113</v>
      </c>
    </row>
    <row r="846" ht="15.75" customHeight="1">
      <c r="A846" s="545"/>
      <c r="F846" s="546"/>
      <c r="I846" s="545"/>
      <c r="N846" s="115" t="s">
        <v>113</v>
      </c>
    </row>
    <row r="847" ht="15.75" customHeight="1">
      <c r="A847" s="545"/>
      <c r="F847" s="546"/>
      <c r="I847" s="545"/>
      <c r="N847" s="115" t="s">
        <v>113</v>
      </c>
    </row>
    <row r="848" ht="15.75" customHeight="1">
      <c r="A848" s="545"/>
      <c r="F848" s="546"/>
      <c r="I848" s="545"/>
      <c r="N848" s="115" t="s">
        <v>113</v>
      </c>
    </row>
    <row r="849" ht="15.75" customHeight="1">
      <c r="A849" s="545"/>
      <c r="F849" s="546"/>
      <c r="I849" s="545"/>
      <c r="N849" s="115" t="s">
        <v>113</v>
      </c>
    </row>
    <row r="850" ht="15.75" customHeight="1">
      <c r="A850" s="545"/>
      <c r="F850" s="546"/>
      <c r="I850" s="545"/>
      <c r="N850" s="115" t="s">
        <v>113</v>
      </c>
    </row>
    <row r="851" ht="15.75" customHeight="1">
      <c r="A851" s="545"/>
      <c r="F851" s="546"/>
      <c r="I851" s="545"/>
      <c r="N851" s="115" t="s">
        <v>113</v>
      </c>
    </row>
    <row r="852" ht="15.75" customHeight="1">
      <c r="A852" s="545"/>
      <c r="F852" s="546"/>
      <c r="I852" s="545"/>
      <c r="N852" s="115" t="s">
        <v>113</v>
      </c>
    </row>
    <row r="853" ht="15.75" customHeight="1">
      <c r="A853" s="545"/>
      <c r="F853" s="546"/>
      <c r="I853" s="545"/>
      <c r="N853" s="115" t="s">
        <v>113</v>
      </c>
    </row>
    <row r="854" ht="15.75" customHeight="1">
      <c r="A854" s="545"/>
      <c r="F854" s="546"/>
      <c r="I854" s="545"/>
      <c r="N854" s="115" t="s">
        <v>113</v>
      </c>
    </row>
    <row r="855" ht="15.75" customHeight="1">
      <c r="A855" s="545"/>
      <c r="F855" s="546"/>
      <c r="I855" s="545"/>
      <c r="N855" s="115" t="s">
        <v>113</v>
      </c>
    </row>
    <row r="856" ht="15.75" customHeight="1">
      <c r="A856" s="545"/>
      <c r="F856" s="546"/>
      <c r="I856" s="545"/>
      <c r="N856" s="115" t="s">
        <v>113</v>
      </c>
    </row>
    <row r="857" ht="15.75" customHeight="1">
      <c r="A857" s="545"/>
      <c r="F857" s="546"/>
      <c r="I857" s="545"/>
      <c r="N857" s="115" t="s">
        <v>113</v>
      </c>
    </row>
    <row r="858" ht="15.75" customHeight="1">
      <c r="A858" s="545"/>
      <c r="F858" s="546"/>
      <c r="I858" s="545"/>
      <c r="N858" s="115" t="s">
        <v>113</v>
      </c>
    </row>
    <row r="859" ht="15.75" customHeight="1">
      <c r="A859" s="545"/>
      <c r="F859" s="546"/>
      <c r="I859" s="545"/>
      <c r="N859" s="115" t="s">
        <v>113</v>
      </c>
    </row>
    <row r="860" ht="15.75" customHeight="1">
      <c r="A860" s="545"/>
      <c r="F860" s="546"/>
      <c r="I860" s="545"/>
      <c r="N860" s="115" t="s">
        <v>113</v>
      </c>
    </row>
    <row r="861" ht="15.75" customHeight="1">
      <c r="A861" s="545"/>
      <c r="F861" s="546"/>
      <c r="I861" s="545"/>
      <c r="N861" s="115" t="s">
        <v>113</v>
      </c>
    </row>
    <row r="862" ht="15.75" customHeight="1">
      <c r="A862" s="545"/>
      <c r="F862" s="546"/>
      <c r="I862" s="545"/>
      <c r="N862" s="115" t="s">
        <v>113</v>
      </c>
    </row>
    <row r="863" ht="15.75" customHeight="1">
      <c r="A863" s="545"/>
      <c r="F863" s="546"/>
      <c r="I863" s="545"/>
      <c r="N863" s="115" t="s">
        <v>113</v>
      </c>
    </row>
    <row r="864" ht="15.75" customHeight="1">
      <c r="A864" s="545"/>
      <c r="F864" s="546"/>
      <c r="I864" s="545"/>
      <c r="N864" s="115" t="s">
        <v>113</v>
      </c>
    </row>
    <row r="865" ht="15.75" customHeight="1">
      <c r="A865" s="545"/>
      <c r="F865" s="546"/>
      <c r="I865" s="545"/>
      <c r="N865" s="115" t="s">
        <v>113</v>
      </c>
    </row>
    <row r="866" ht="15.75" customHeight="1">
      <c r="A866" s="545"/>
      <c r="F866" s="546"/>
      <c r="I866" s="545"/>
      <c r="N866" s="115" t="s">
        <v>113</v>
      </c>
    </row>
    <row r="867" ht="15.75" customHeight="1">
      <c r="A867" s="545"/>
      <c r="F867" s="546"/>
      <c r="I867" s="545"/>
      <c r="N867" s="115" t="s">
        <v>113</v>
      </c>
    </row>
    <row r="868" ht="15.75" customHeight="1">
      <c r="A868" s="545"/>
      <c r="F868" s="546"/>
      <c r="I868" s="545"/>
      <c r="N868" s="115" t="s">
        <v>113</v>
      </c>
    </row>
    <row r="869" ht="15.75" customHeight="1">
      <c r="A869" s="545"/>
      <c r="F869" s="546"/>
      <c r="I869" s="545"/>
      <c r="N869" s="115" t="s">
        <v>113</v>
      </c>
    </row>
    <row r="870" ht="15.75" customHeight="1">
      <c r="A870" s="545"/>
      <c r="F870" s="546"/>
      <c r="I870" s="545"/>
      <c r="N870" s="115" t="s">
        <v>113</v>
      </c>
    </row>
    <row r="871" ht="15.75" customHeight="1">
      <c r="A871" s="545"/>
      <c r="F871" s="546"/>
      <c r="I871" s="545"/>
      <c r="N871" s="115" t="s">
        <v>113</v>
      </c>
    </row>
    <row r="872" ht="15.75" customHeight="1">
      <c r="A872" s="545"/>
      <c r="F872" s="546"/>
      <c r="I872" s="545"/>
      <c r="N872" s="115" t="s">
        <v>113</v>
      </c>
    </row>
    <row r="873" ht="15.75" customHeight="1">
      <c r="A873" s="545"/>
      <c r="F873" s="546"/>
      <c r="I873" s="545"/>
      <c r="N873" s="115" t="s">
        <v>113</v>
      </c>
    </row>
    <row r="874" ht="15.75" customHeight="1">
      <c r="A874" s="545"/>
      <c r="F874" s="546"/>
      <c r="I874" s="545"/>
      <c r="N874" s="115" t="s">
        <v>113</v>
      </c>
    </row>
    <row r="875" ht="15.75" customHeight="1">
      <c r="A875" s="545"/>
      <c r="F875" s="546"/>
      <c r="I875" s="545"/>
      <c r="N875" s="115" t="s">
        <v>113</v>
      </c>
    </row>
    <row r="876" ht="15.75" customHeight="1">
      <c r="A876" s="545"/>
      <c r="F876" s="546"/>
      <c r="I876" s="545"/>
      <c r="N876" s="115" t="s">
        <v>113</v>
      </c>
    </row>
    <row r="877" ht="15.75" customHeight="1">
      <c r="A877" s="545"/>
      <c r="F877" s="546"/>
      <c r="I877" s="545"/>
      <c r="N877" s="115" t="s">
        <v>113</v>
      </c>
    </row>
    <row r="878" ht="15.75" customHeight="1">
      <c r="A878" s="545"/>
      <c r="F878" s="546"/>
      <c r="I878" s="545"/>
      <c r="N878" s="115" t="s">
        <v>113</v>
      </c>
    </row>
    <row r="879" ht="15.75" customHeight="1">
      <c r="A879" s="545"/>
      <c r="F879" s="546"/>
      <c r="I879" s="545"/>
      <c r="N879" s="115" t="s">
        <v>113</v>
      </c>
    </row>
    <row r="880" ht="15.75" customHeight="1">
      <c r="A880" s="545"/>
      <c r="F880" s="546"/>
      <c r="I880" s="545"/>
      <c r="N880" s="115" t="s">
        <v>113</v>
      </c>
    </row>
    <row r="881" ht="15.75" customHeight="1">
      <c r="A881" s="545"/>
      <c r="F881" s="546"/>
      <c r="I881" s="545"/>
      <c r="N881" s="115" t="s">
        <v>113</v>
      </c>
    </row>
    <row r="882" ht="15.75" customHeight="1">
      <c r="A882" s="545"/>
      <c r="F882" s="546"/>
      <c r="I882" s="545"/>
      <c r="N882" s="115" t="s">
        <v>113</v>
      </c>
    </row>
    <row r="883" ht="15.75" customHeight="1">
      <c r="A883" s="545"/>
      <c r="F883" s="546"/>
      <c r="I883" s="545"/>
      <c r="N883" s="115" t="s">
        <v>113</v>
      </c>
    </row>
    <row r="884" ht="15.75" customHeight="1">
      <c r="A884" s="545"/>
      <c r="F884" s="546"/>
      <c r="I884" s="545"/>
      <c r="N884" s="115" t="s">
        <v>113</v>
      </c>
    </row>
    <row r="885" ht="15.75" customHeight="1">
      <c r="A885" s="545"/>
      <c r="F885" s="546"/>
      <c r="I885" s="545"/>
      <c r="N885" s="115" t="s">
        <v>113</v>
      </c>
    </row>
    <row r="886" ht="15.75" customHeight="1">
      <c r="A886" s="545"/>
      <c r="F886" s="546"/>
      <c r="I886" s="545"/>
      <c r="N886" s="115" t="s">
        <v>113</v>
      </c>
    </row>
    <row r="887" ht="15.75" customHeight="1">
      <c r="A887" s="545"/>
      <c r="F887" s="546"/>
      <c r="I887" s="545"/>
      <c r="N887" s="115" t="s">
        <v>113</v>
      </c>
    </row>
    <row r="888" ht="15.75" customHeight="1">
      <c r="A888" s="545"/>
      <c r="F888" s="546"/>
      <c r="I888" s="545"/>
      <c r="N888" s="115" t="s">
        <v>113</v>
      </c>
    </row>
    <row r="889" ht="15.75" customHeight="1">
      <c r="A889" s="545"/>
      <c r="F889" s="546"/>
      <c r="I889" s="545"/>
      <c r="N889" s="115" t="s">
        <v>113</v>
      </c>
    </row>
    <row r="890" ht="15.75" customHeight="1">
      <c r="A890" s="545"/>
      <c r="F890" s="546"/>
      <c r="I890" s="545"/>
      <c r="N890" s="115" t="s">
        <v>113</v>
      </c>
    </row>
    <row r="891" ht="15.75" customHeight="1">
      <c r="A891" s="545"/>
      <c r="F891" s="546"/>
      <c r="I891" s="545"/>
      <c r="N891" s="115" t="s">
        <v>113</v>
      </c>
    </row>
    <row r="892" ht="15.75" customHeight="1">
      <c r="A892" s="545"/>
      <c r="F892" s="546"/>
      <c r="I892" s="545"/>
      <c r="N892" s="115" t="s">
        <v>113</v>
      </c>
    </row>
    <row r="893" ht="15.75" customHeight="1">
      <c r="A893" s="545"/>
      <c r="F893" s="546"/>
      <c r="I893" s="545"/>
      <c r="N893" s="115" t="s">
        <v>113</v>
      </c>
    </row>
    <row r="894" ht="15.75" customHeight="1">
      <c r="A894" s="545"/>
      <c r="F894" s="546"/>
      <c r="I894" s="545"/>
      <c r="N894" s="115" t="s">
        <v>113</v>
      </c>
    </row>
    <row r="895" ht="15.75" customHeight="1">
      <c r="A895" s="545"/>
      <c r="F895" s="546"/>
      <c r="I895" s="545"/>
      <c r="N895" s="115" t="s">
        <v>113</v>
      </c>
    </row>
    <row r="896" ht="15.75" customHeight="1">
      <c r="A896" s="545"/>
      <c r="F896" s="546"/>
      <c r="I896" s="545"/>
      <c r="N896" s="115" t="s">
        <v>113</v>
      </c>
    </row>
    <row r="897" ht="15.75" customHeight="1">
      <c r="A897" s="545"/>
      <c r="F897" s="546"/>
      <c r="I897" s="545"/>
      <c r="N897" s="115" t="s">
        <v>113</v>
      </c>
    </row>
    <row r="898" ht="15.75" customHeight="1">
      <c r="A898" s="545"/>
      <c r="F898" s="546"/>
      <c r="I898" s="545"/>
      <c r="N898" s="115" t="s">
        <v>113</v>
      </c>
    </row>
    <row r="899" ht="15.75" customHeight="1">
      <c r="A899" s="545"/>
      <c r="F899" s="546"/>
      <c r="I899" s="545"/>
      <c r="N899" s="115" t="s">
        <v>113</v>
      </c>
    </row>
    <row r="900" ht="15.75" customHeight="1">
      <c r="A900" s="545"/>
      <c r="F900" s="546"/>
      <c r="I900" s="545"/>
      <c r="N900" s="115" t="s">
        <v>113</v>
      </c>
    </row>
    <row r="901" ht="15.75" customHeight="1">
      <c r="A901" s="545"/>
      <c r="F901" s="546"/>
      <c r="I901" s="545"/>
      <c r="N901" s="115" t="s">
        <v>113</v>
      </c>
    </row>
    <row r="902" ht="15.75" customHeight="1">
      <c r="A902" s="545"/>
      <c r="F902" s="546"/>
      <c r="I902" s="545"/>
      <c r="N902" s="115" t="s">
        <v>113</v>
      </c>
    </row>
    <row r="903" ht="15.75" customHeight="1">
      <c r="A903" s="545"/>
      <c r="F903" s="546"/>
      <c r="I903" s="545"/>
      <c r="N903" s="115" t="s">
        <v>113</v>
      </c>
    </row>
    <row r="904" ht="15.75" customHeight="1">
      <c r="A904" s="545"/>
      <c r="F904" s="546"/>
      <c r="I904" s="545"/>
      <c r="N904" s="115" t="s">
        <v>113</v>
      </c>
    </row>
    <row r="905" ht="15.75" customHeight="1">
      <c r="A905" s="545"/>
      <c r="F905" s="546"/>
      <c r="I905" s="545"/>
      <c r="N905" s="115" t="s">
        <v>113</v>
      </c>
    </row>
    <row r="906" ht="15.75" customHeight="1">
      <c r="A906" s="545"/>
      <c r="F906" s="546"/>
      <c r="I906" s="545"/>
      <c r="N906" s="115" t="s">
        <v>113</v>
      </c>
    </row>
    <row r="907" ht="15.75" customHeight="1">
      <c r="A907" s="545"/>
      <c r="F907" s="546"/>
      <c r="I907" s="545"/>
      <c r="N907" s="115" t="s">
        <v>113</v>
      </c>
    </row>
    <row r="908" ht="15.75" customHeight="1">
      <c r="A908" s="545"/>
      <c r="F908" s="546"/>
      <c r="I908" s="545"/>
      <c r="N908" s="115" t="s">
        <v>113</v>
      </c>
    </row>
    <row r="909" ht="15.75" customHeight="1">
      <c r="A909" s="545"/>
      <c r="F909" s="546"/>
      <c r="I909" s="545"/>
      <c r="N909" s="115" t="s">
        <v>113</v>
      </c>
    </row>
    <row r="910" ht="15.75" customHeight="1">
      <c r="A910" s="545"/>
      <c r="F910" s="546"/>
      <c r="I910" s="545"/>
      <c r="N910" s="115" t="s">
        <v>113</v>
      </c>
    </row>
    <row r="911" ht="15.75" customHeight="1">
      <c r="A911" s="545"/>
      <c r="F911" s="546"/>
      <c r="I911" s="545"/>
      <c r="N911" s="115" t="s">
        <v>113</v>
      </c>
    </row>
    <row r="912" ht="15.75" customHeight="1">
      <c r="A912" s="545"/>
      <c r="F912" s="546"/>
      <c r="I912" s="545"/>
      <c r="N912" s="115" t="s">
        <v>113</v>
      </c>
    </row>
    <row r="913" ht="15.75" customHeight="1">
      <c r="A913" s="545"/>
      <c r="F913" s="546"/>
      <c r="I913" s="545"/>
      <c r="N913" s="115" t="s">
        <v>113</v>
      </c>
    </row>
    <row r="914" ht="15.75" customHeight="1">
      <c r="A914" s="545"/>
      <c r="F914" s="546"/>
      <c r="I914" s="545"/>
      <c r="N914" s="115" t="s">
        <v>113</v>
      </c>
    </row>
    <row r="915" ht="15.75" customHeight="1">
      <c r="A915" s="545"/>
      <c r="F915" s="546"/>
      <c r="I915" s="545"/>
      <c r="N915" s="115" t="s">
        <v>113</v>
      </c>
    </row>
    <row r="916" ht="15.75" customHeight="1">
      <c r="A916" s="545"/>
      <c r="F916" s="546"/>
      <c r="I916" s="545"/>
      <c r="N916" s="115" t="s">
        <v>113</v>
      </c>
    </row>
    <row r="917" ht="15.75" customHeight="1">
      <c r="A917" s="545"/>
      <c r="F917" s="546"/>
      <c r="I917" s="545"/>
      <c r="N917" s="115" t="s">
        <v>113</v>
      </c>
    </row>
    <row r="918" ht="15.75" customHeight="1">
      <c r="A918" s="545"/>
      <c r="F918" s="546"/>
      <c r="I918" s="545"/>
      <c r="N918" s="115" t="s">
        <v>113</v>
      </c>
    </row>
    <row r="919" ht="15.75" customHeight="1">
      <c r="A919" s="545"/>
      <c r="F919" s="546"/>
      <c r="I919" s="545"/>
      <c r="N919" s="115" t="s">
        <v>113</v>
      </c>
    </row>
    <row r="920" ht="15.75" customHeight="1">
      <c r="A920" s="545"/>
      <c r="F920" s="546"/>
      <c r="I920" s="545"/>
      <c r="N920" s="115" t="s">
        <v>113</v>
      </c>
    </row>
    <row r="921" ht="15.75" customHeight="1">
      <c r="A921" s="545"/>
      <c r="F921" s="546"/>
      <c r="I921" s="545"/>
      <c r="N921" s="115" t="s">
        <v>113</v>
      </c>
    </row>
    <row r="922" ht="15.75" customHeight="1">
      <c r="A922" s="545"/>
      <c r="F922" s="546"/>
      <c r="I922" s="545"/>
      <c r="N922" s="115" t="s">
        <v>113</v>
      </c>
    </row>
    <row r="923" ht="15.75" customHeight="1">
      <c r="A923" s="545"/>
      <c r="F923" s="546"/>
      <c r="I923" s="545"/>
      <c r="N923" s="115" t="s">
        <v>113</v>
      </c>
    </row>
    <row r="924" ht="15.75" customHeight="1">
      <c r="A924" s="545"/>
      <c r="F924" s="546"/>
      <c r="I924" s="545"/>
      <c r="N924" s="115" t="s">
        <v>113</v>
      </c>
    </row>
    <row r="925" ht="15.75" customHeight="1">
      <c r="A925" s="545"/>
      <c r="F925" s="546"/>
      <c r="I925" s="545"/>
      <c r="N925" s="115" t="s">
        <v>113</v>
      </c>
    </row>
    <row r="926" ht="15.75" customHeight="1">
      <c r="A926" s="545"/>
      <c r="F926" s="546"/>
      <c r="I926" s="545"/>
      <c r="N926" s="115" t="s">
        <v>113</v>
      </c>
    </row>
    <row r="927" ht="15.75" customHeight="1">
      <c r="A927" s="545"/>
      <c r="F927" s="546"/>
      <c r="I927" s="545"/>
      <c r="N927" s="115" t="s">
        <v>113</v>
      </c>
    </row>
    <row r="928" ht="15.75" customHeight="1">
      <c r="A928" s="545"/>
      <c r="F928" s="546"/>
      <c r="I928" s="545"/>
      <c r="N928" s="115" t="s">
        <v>113</v>
      </c>
    </row>
    <row r="929" ht="15.75" customHeight="1">
      <c r="A929" s="545"/>
      <c r="F929" s="546"/>
      <c r="I929" s="545"/>
      <c r="N929" s="115" t="s">
        <v>113</v>
      </c>
    </row>
    <row r="930" ht="15.75" customHeight="1">
      <c r="A930" s="545"/>
      <c r="F930" s="546"/>
      <c r="I930" s="545"/>
      <c r="N930" s="115" t="s">
        <v>113</v>
      </c>
    </row>
    <row r="931" ht="15.75" customHeight="1">
      <c r="A931" s="545"/>
      <c r="F931" s="546"/>
      <c r="I931" s="545"/>
      <c r="N931" s="115" t="s">
        <v>113</v>
      </c>
    </row>
    <row r="932" ht="15.75" customHeight="1">
      <c r="A932" s="545"/>
      <c r="F932" s="546"/>
      <c r="I932" s="545"/>
      <c r="N932" s="115" t="s">
        <v>113</v>
      </c>
    </row>
    <row r="933" ht="15.75" customHeight="1">
      <c r="A933" s="545"/>
      <c r="F933" s="546"/>
      <c r="I933" s="545"/>
      <c r="N933" s="115" t="s">
        <v>113</v>
      </c>
    </row>
    <row r="934" ht="15.75" customHeight="1">
      <c r="A934" s="545"/>
      <c r="F934" s="546"/>
      <c r="I934" s="545"/>
      <c r="N934" s="115" t="s">
        <v>113</v>
      </c>
    </row>
    <row r="935" ht="15.75" customHeight="1">
      <c r="A935" s="545"/>
      <c r="F935" s="546"/>
      <c r="I935" s="545"/>
      <c r="N935" s="115" t="s">
        <v>113</v>
      </c>
    </row>
    <row r="936" ht="15.75" customHeight="1">
      <c r="A936" s="545"/>
      <c r="F936" s="546"/>
      <c r="I936" s="545"/>
      <c r="N936" s="115" t="s">
        <v>113</v>
      </c>
    </row>
    <row r="937" ht="15.75" customHeight="1">
      <c r="A937" s="545"/>
      <c r="F937" s="546"/>
      <c r="I937" s="545"/>
      <c r="N937" s="115" t="s">
        <v>113</v>
      </c>
    </row>
    <row r="938" ht="15.75" customHeight="1">
      <c r="A938" s="545"/>
      <c r="F938" s="546"/>
      <c r="I938" s="545"/>
      <c r="N938" s="115" t="s">
        <v>113</v>
      </c>
    </row>
    <row r="939" ht="15.75" customHeight="1">
      <c r="A939" s="545"/>
      <c r="F939" s="546"/>
      <c r="I939" s="545"/>
      <c r="N939" s="115" t="s">
        <v>113</v>
      </c>
    </row>
    <row r="940" ht="15.75" customHeight="1">
      <c r="A940" s="545"/>
      <c r="F940" s="546"/>
      <c r="I940" s="545"/>
      <c r="N940" s="115" t="s">
        <v>113</v>
      </c>
    </row>
    <row r="941" ht="15.75" customHeight="1">
      <c r="A941" s="545"/>
      <c r="F941" s="546"/>
      <c r="I941" s="545"/>
      <c r="N941" s="115" t="s">
        <v>113</v>
      </c>
    </row>
    <row r="942" ht="15.75" customHeight="1">
      <c r="A942" s="545"/>
      <c r="F942" s="546"/>
      <c r="I942" s="545"/>
      <c r="N942" s="115" t="s">
        <v>113</v>
      </c>
    </row>
    <row r="943" ht="15.75" customHeight="1">
      <c r="A943" s="545"/>
      <c r="F943" s="546"/>
      <c r="I943" s="545"/>
      <c r="N943" s="115" t="s">
        <v>113</v>
      </c>
    </row>
    <row r="944" ht="15.75" customHeight="1">
      <c r="A944" s="545"/>
      <c r="F944" s="546"/>
      <c r="I944" s="545"/>
      <c r="N944" s="115" t="s">
        <v>113</v>
      </c>
    </row>
    <row r="945" ht="15.75" customHeight="1">
      <c r="A945" s="545"/>
      <c r="F945" s="546"/>
      <c r="I945" s="545"/>
      <c r="N945" s="115" t="s">
        <v>113</v>
      </c>
    </row>
    <row r="946" ht="15.75" customHeight="1">
      <c r="A946" s="545"/>
      <c r="F946" s="546"/>
      <c r="I946" s="545"/>
      <c r="N946" s="115" t="s">
        <v>113</v>
      </c>
    </row>
    <row r="947" ht="15.75" customHeight="1">
      <c r="A947" s="545"/>
      <c r="F947" s="546"/>
      <c r="I947" s="545"/>
      <c r="N947" s="115" t="s">
        <v>113</v>
      </c>
    </row>
    <row r="948" ht="15.75" customHeight="1">
      <c r="A948" s="545"/>
      <c r="F948" s="546"/>
      <c r="I948" s="545"/>
      <c r="N948" s="115" t="s">
        <v>113</v>
      </c>
    </row>
    <row r="949" ht="15.75" customHeight="1">
      <c r="A949" s="545"/>
      <c r="F949" s="546"/>
      <c r="I949" s="545"/>
      <c r="N949" s="115" t="s">
        <v>113</v>
      </c>
    </row>
    <row r="950" ht="15.75" customHeight="1">
      <c r="A950" s="545"/>
      <c r="F950" s="546"/>
      <c r="I950" s="545"/>
      <c r="N950" s="115" t="s">
        <v>113</v>
      </c>
    </row>
    <row r="951" ht="15.75" customHeight="1">
      <c r="A951" s="545"/>
      <c r="F951" s="546"/>
      <c r="I951" s="545"/>
      <c r="N951" s="115" t="s">
        <v>113</v>
      </c>
    </row>
    <row r="952" ht="15.75" customHeight="1">
      <c r="A952" s="545"/>
      <c r="F952" s="546"/>
      <c r="I952" s="545"/>
      <c r="N952" s="115" t="s">
        <v>113</v>
      </c>
    </row>
    <row r="953" ht="15.75" customHeight="1">
      <c r="A953" s="545"/>
      <c r="F953" s="546"/>
      <c r="I953" s="545"/>
      <c r="N953" s="115" t="s">
        <v>113</v>
      </c>
    </row>
    <row r="954" ht="15.75" customHeight="1">
      <c r="A954" s="545"/>
      <c r="F954" s="546"/>
      <c r="I954" s="545"/>
      <c r="N954" s="115" t="s">
        <v>113</v>
      </c>
    </row>
    <row r="955" ht="15.75" customHeight="1">
      <c r="A955" s="545"/>
      <c r="F955" s="546"/>
      <c r="I955" s="545"/>
      <c r="N955" s="115" t="s">
        <v>113</v>
      </c>
    </row>
    <row r="956" ht="15.75" customHeight="1">
      <c r="A956" s="545"/>
      <c r="F956" s="546"/>
      <c r="I956" s="545"/>
      <c r="N956" s="115" t="s">
        <v>113</v>
      </c>
    </row>
    <row r="957" ht="15.75" customHeight="1">
      <c r="A957" s="545"/>
      <c r="F957" s="546"/>
      <c r="I957" s="545"/>
      <c r="N957" s="115" t="s">
        <v>113</v>
      </c>
    </row>
    <row r="958" ht="15.75" customHeight="1">
      <c r="A958" s="545"/>
      <c r="F958" s="546"/>
      <c r="I958" s="545"/>
      <c r="N958" s="115" t="s">
        <v>113</v>
      </c>
    </row>
    <row r="959" ht="15.75" customHeight="1">
      <c r="A959" s="545"/>
      <c r="F959" s="546"/>
      <c r="I959" s="545"/>
      <c r="N959" s="115" t="s">
        <v>113</v>
      </c>
    </row>
    <row r="960" ht="15.75" customHeight="1">
      <c r="A960" s="545"/>
      <c r="F960" s="546"/>
      <c r="I960" s="545"/>
      <c r="N960" s="115" t="s">
        <v>113</v>
      </c>
    </row>
    <row r="961" ht="15.75" customHeight="1">
      <c r="A961" s="545"/>
      <c r="F961" s="546"/>
      <c r="I961" s="545"/>
      <c r="N961" s="115" t="s">
        <v>113</v>
      </c>
    </row>
    <row r="962" ht="15.75" customHeight="1">
      <c r="A962" s="545"/>
      <c r="F962" s="546"/>
      <c r="I962" s="545"/>
      <c r="N962" s="115" t="s">
        <v>113</v>
      </c>
    </row>
    <row r="963" ht="15.75" customHeight="1">
      <c r="A963" s="545"/>
      <c r="F963" s="546"/>
      <c r="I963" s="545"/>
      <c r="N963" s="115" t="s">
        <v>113</v>
      </c>
    </row>
    <row r="964" ht="15.75" customHeight="1">
      <c r="A964" s="545"/>
      <c r="F964" s="546"/>
      <c r="I964" s="545"/>
      <c r="N964" s="115" t="s">
        <v>113</v>
      </c>
    </row>
    <row r="965" ht="15.75" customHeight="1">
      <c r="A965" s="545"/>
      <c r="F965" s="546"/>
      <c r="I965" s="545"/>
      <c r="N965" s="115" t="s">
        <v>113</v>
      </c>
    </row>
    <row r="966" ht="15.75" customHeight="1">
      <c r="A966" s="545"/>
      <c r="F966" s="546"/>
      <c r="I966" s="545"/>
      <c r="N966" s="115" t="s">
        <v>113</v>
      </c>
    </row>
    <row r="967" ht="15.75" customHeight="1">
      <c r="A967" s="545"/>
      <c r="F967" s="546"/>
      <c r="I967" s="545"/>
      <c r="N967" s="115" t="s">
        <v>113</v>
      </c>
    </row>
    <row r="968" ht="15.75" customHeight="1">
      <c r="A968" s="545"/>
      <c r="F968" s="546"/>
      <c r="I968" s="545"/>
      <c r="N968" s="115" t="s">
        <v>113</v>
      </c>
    </row>
    <row r="969" ht="15.75" customHeight="1">
      <c r="A969" s="545"/>
      <c r="F969" s="546"/>
      <c r="I969" s="545"/>
      <c r="N969" s="115" t="s">
        <v>113</v>
      </c>
    </row>
    <row r="970" ht="15.75" customHeight="1">
      <c r="A970" s="545"/>
      <c r="F970" s="546"/>
      <c r="I970" s="545"/>
      <c r="N970" s="115" t="s">
        <v>113</v>
      </c>
    </row>
    <row r="971" ht="15.75" customHeight="1">
      <c r="A971" s="545"/>
      <c r="F971" s="546"/>
      <c r="I971" s="545"/>
      <c r="N971" s="115" t="s">
        <v>113</v>
      </c>
    </row>
    <row r="972" ht="15.75" customHeight="1">
      <c r="A972" s="545"/>
      <c r="F972" s="546"/>
      <c r="I972" s="545"/>
      <c r="N972" s="115" t="s">
        <v>113</v>
      </c>
    </row>
    <row r="973" ht="15.75" customHeight="1">
      <c r="A973" s="545"/>
      <c r="F973" s="546"/>
      <c r="I973" s="545"/>
      <c r="N973" s="115" t="s">
        <v>113</v>
      </c>
    </row>
    <row r="974" ht="15.75" customHeight="1">
      <c r="A974" s="545"/>
      <c r="F974" s="546"/>
      <c r="I974" s="545"/>
      <c r="N974" s="115" t="s">
        <v>113</v>
      </c>
    </row>
    <row r="975" ht="15.75" customHeight="1">
      <c r="A975" s="545"/>
      <c r="F975" s="546"/>
      <c r="I975" s="545"/>
      <c r="N975" s="115" t="s">
        <v>113</v>
      </c>
    </row>
    <row r="976" ht="15.75" customHeight="1">
      <c r="A976" s="545"/>
      <c r="F976" s="546"/>
      <c r="I976" s="545"/>
      <c r="N976" s="115" t="s">
        <v>113</v>
      </c>
    </row>
    <row r="977" ht="15.75" customHeight="1">
      <c r="A977" s="545"/>
      <c r="F977" s="546"/>
      <c r="I977" s="545"/>
      <c r="N977" s="115" t="s">
        <v>113</v>
      </c>
    </row>
    <row r="978" ht="15.75" customHeight="1">
      <c r="A978" s="545"/>
      <c r="F978" s="546"/>
      <c r="I978" s="545"/>
      <c r="N978" s="115" t="s">
        <v>113</v>
      </c>
    </row>
    <row r="979" ht="15.75" customHeight="1">
      <c r="A979" s="545"/>
      <c r="F979" s="546"/>
      <c r="I979" s="545"/>
      <c r="N979" s="115" t="s">
        <v>113</v>
      </c>
    </row>
    <row r="980" ht="15.75" customHeight="1">
      <c r="A980" s="545"/>
      <c r="F980" s="546"/>
      <c r="I980" s="545"/>
      <c r="N980" s="115" t="s">
        <v>113</v>
      </c>
    </row>
    <row r="981" ht="15.75" customHeight="1">
      <c r="A981" s="545"/>
      <c r="F981" s="546"/>
      <c r="I981" s="545"/>
      <c r="N981" s="115" t="s">
        <v>113</v>
      </c>
    </row>
    <row r="982" ht="15.75" customHeight="1">
      <c r="A982" s="545"/>
      <c r="F982" s="546"/>
      <c r="I982" s="545"/>
      <c r="N982" s="115" t="s">
        <v>113</v>
      </c>
    </row>
    <row r="983" ht="15.75" customHeight="1">
      <c r="A983" s="545"/>
      <c r="F983" s="546"/>
      <c r="I983" s="545"/>
      <c r="N983" s="115" t="s">
        <v>113</v>
      </c>
    </row>
    <row r="984" ht="15.75" customHeight="1">
      <c r="A984" s="545"/>
      <c r="F984" s="546"/>
      <c r="I984" s="545"/>
      <c r="N984" s="115" t="s">
        <v>113</v>
      </c>
    </row>
    <row r="985" ht="15.75" customHeight="1">
      <c r="A985" s="545"/>
      <c r="F985" s="546"/>
      <c r="I985" s="545"/>
      <c r="N985" s="115" t="s">
        <v>113</v>
      </c>
    </row>
    <row r="986" ht="15.75" customHeight="1">
      <c r="A986" s="545"/>
      <c r="F986" s="546"/>
      <c r="I986" s="545"/>
      <c r="N986" s="115" t="s">
        <v>113</v>
      </c>
    </row>
    <row r="987" ht="15.75" customHeight="1">
      <c r="A987" s="545"/>
      <c r="F987" s="546"/>
      <c r="I987" s="545"/>
      <c r="N987" s="115" t="s">
        <v>113</v>
      </c>
    </row>
    <row r="988" ht="15.75" customHeight="1">
      <c r="A988" s="545"/>
      <c r="F988" s="546"/>
      <c r="I988" s="545"/>
      <c r="N988" s="115" t="s">
        <v>113</v>
      </c>
    </row>
    <row r="989" ht="15.75" customHeight="1">
      <c r="A989" s="545"/>
      <c r="F989" s="546"/>
      <c r="I989" s="545"/>
      <c r="N989" s="115" t="s">
        <v>113</v>
      </c>
    </row>
    <row r="990" ht="15.75" customHeight="1">
      <c r="A990" s="545"/>
      <c r="F990" s="546"/>
      <c r="I990" s="545"/>
      <c r="N990" s="115" t="s">
        <v>113</v>
      </c>
    </row>
    <row r="991" ht="15.75" customHeight="1">
      <c r="A991" s="545"/>
      <c r="F991" s="546"/>
      <c r="I991" s="545"/>
      <c r="N991" s="115" t="s">
        <v>113</v>
      </c>
    </row>
    <row r="992" ht="15.75" customHeight="1">
      <c r="A992" s="545"/>
      <c r="F992" s="546"/>
      <c r="I992" s="545"/>
      <c r="N992" s="115" t="s">
        <v>113</v>
      </c>
    </row>
    <row r="993" ht="15.75" customHeight="1">
      <c r="A993" s="545"/>
      <c r="F993" s="546"/>
      <c r="I993" s="545"/>
      <c r="N993" s="115" t="s">
        <v>113</v>
      </c>
    </row>
    <row r="994" ht="15.75" customHeight="1">
      <c r="A994" s="545"/>
      <c r="F994" s="546"/>
      <c r="I994" s="545"/>
      <c r="N994" s="115" t="s">
        <v>113</v>
      </c>
    </row>
    <row r="995" ht="15.75" customHeight="1">
      <c r="A995" s="545"/>
      <c r="F995" s="546"/>
      <c r="I995" s="545"/>
      <c r="N995" s="115" t="s">
        <v>113</v>
      </c>
    </row>
    <row r="996" ht="15.75" customHeight="1">
      <c r="A996" s="545"/>
      <c r="F996" s="546"/>
      <c r="I996" s="545"/>
      <c r="N996" s="115" t="s">
        <v>113</v>
      </c>
    </row>
    <row r="997" ht="15.75" customHeight="1">
      <c r="A997" s="545"/>
      <c r="F997" s="546"/>
      <c r="I997" s="545"/>
      <c r="N997" s="115" t="s">
        <v>113</v>
      </c>
    </row>
    <row r="998" ht="15.75" customHeight="1">
      <c r="A998" s="545"/>
      <c r="F998" s="546"/>
      <c r="I998" s="545"/>
      <c r="N998" s="115" t="s">
        <v>113</v>
      </c>
    </row>
  </sheetData>
  <mergeCells count="6">
    <mergeCell ref="A1:M1"/>
    <mergeCell ref="A2:M2"/>
    <mergeCell ref="A3:C3"/>
    <mergeCell ref="D3:M3"/>
    <mergeCell ref="T4:U4"/>
    <mergeCell ref="T11:U13"/>
  </mergeCells>
  <conditionalFormatting sqref="I7:I17 I20:I32 I34:I137 I148">
    <cfRule type="expression" dxfId="0" priority="1">
      <formula>$I7="Disponible"</formula>
    </cfRule>
  </conditionalFormatting>
  <conditionalFormatting sqref="I7:I17 I20:I32 I34:I137 I148">
    <cfRule type="expression" dxfId="3" priority="2">
      <formula>$I7="Reservado"</formula>
    </cfRule>
  </conditionalFormatting>
  <conditionalFormatting sqref="I7:I17 I20:I32 I34:I137 I148">
    <cfRule type="expression" dxfId="4" priority="3">
      <formula>$I7="Vendido"</formula>
    </cfRule>
  </conditionalFormatting>
  <conditionalFormatting sqref="I7:I17 I20:I32 I34:I137 I148">
    <cfRule type="expression" dxfId="5" priority="4">
      <formula>$I7="Escriturado"</formula>
    </cfRule>
  </conditionalFormatting>
  <conditionalFormatting sqref="I7:I17 I20:I32 I34:I137 I148">
    <cfRule type="expression" dxfId="6" priority="5">
      <formula>$I7="Permutada"</formula>
    </cfRule>
  </conditionalFormatting>
  <conditionalFormatting sqref="I7:I17 I20:I32 I34:I137 I148">
    <cfRule type="expression" dxfId="7" priority="6">
      <formula>$I7="No comercial"</formula>
    </cfRule>
  </conditionalFormatting>
  <conditionalFormatting sqref="I7:I17 I20:I32 I34:I137 I148">
    <cfRule type="expression" dxfId="7" priority="7">
      <formula>$I7="No disponible"</formula>
    </cfRule>
  </conditionalFormatting>
  <conditionalFormatting sqref="I7:I17 I20:I32 I34:I137 I148">
    <cfRule type="expression" dxfId="8" priority="8">
      <formula>$I7="Fondeo"</formula>
    </cfRule>
  </conditionalFormatting>
  <conditionalFormatting sqref="M5:M9 M12:M14 M16:M17 M20:M148 N137 N146:N148">
    <cfRule type="expression" dxfId="9" priority="9">
      <formula>$M5="SI"</formula>
    </cfRule>
  </conditionalFormatting>
  <dataValidations>
    <dataValidation type="list" allowBlank="1" sqref="I7:I32 I34:I137 I148">
      <formula1>"Disponible,Disponible UF ,Reservado,Vendido P.C,Vendido UF,Ph Interno,Permutada,Escriturado,No comercial,No disponible"</formula1>
    </dataValidation>
    <dataValidation type="list" allowBlank="1" showErrorMessage="1" sqref="N5:N136 N283:N998">
      <formula1>"UF,Completa,UF P.,Completa P"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6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10.0"/>
    <col customWidth="1" min="2" max="2" width="40.0"/>
    <col customWidth="1" min="3" max="3" width="20.0"/>
    <col customWidth="1" min="4" max="4" width="22.0"/>
    <col customWidth="1" min="5" max="5" width="34.0"/>
    <col customWidth="1" min="6" max="6" width="32.0"/>
    <col customWidth="1" min="7" max="7" width="17.0"/>
    <col customWidth="1" min="8" max="8" width="20.0"/>
    <col customWidth="1" min="9" max="9" width="22.0"/>
    <col customWidth="1" min="10" max="10" width="20.0"/>
    <col customWidth="1" min="11" max="12" width="18.0"/>
    <col customWidth="1" min="13" max="14" width="22.0"/>
    <col customWidth="1" min="15" max="15" width="16.86"/>
    <col customWidth="1" hidden="1" min="16" max="16" width="13.0"/>
  </cols>
  <sheetData>
    <row r="1" ht="48.0" customHeight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  <c r="P1" s="8"/>
    </row>
    <row r="2" ht="30.0" customHeight="1">
      <c r="A2" s="7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5"/>
      <c r="P2" s="8"/>
    </row>
    <row r="3" ht="30.0" customHeight="1">
      <c r="A3" s="14" t="str">
        <f>HYPERLINK("#'Resumen'!A1","◀ Volver al Resumen")</f>
        <v>◀ Volver al Resumen</v>
      </c>
      <c r="B3" s="3"/>
      <c r="C3" s="5"/>
      <c r="D3" s="8"/>
      <c r="E3" s="8"/>
      <c r="F3" s="8"/>
      <c r="G3" s="8"/>
      <c r="H3" s="8"/>
      <c r="I3" s="8"/>
      <c r="J3" s="8"/>
      <c r="K3" s="16" t="s">
        <v>12</v>
      </c>
      <c r="L3" s="18">
        <v>0.03</v>
      </c>
      <c r="M3" s="8"/>
      <c r="N3" s="8"/>
      <c r="P3" s="8"/>
    </row>
    <row r="4" ht="51.75" customHeight="1">
      <c r="A4" s="20" t="s">
        <v>16</v>
      </c>
      <c r="B4" s="20" t="s">
        <v>18</v>
      </c>
      <c r="C4" s="20" t="s">
        <v>19</v>
      </c>
      <c r="D4" s="20" t="s">
        <v>21</v>
      </c>
      <c r="E4" s="20" t="s">
        <v>22</v>
      </c>
      <c r="F4" s="20" t="s">
        <v>23</v>
      </c>
      <c r="G4" s="20" t="s">
        <v>24</v>
      </c>
      <c r="H4" s="20" t="s">
        <v>25</v>
      </c>
      <c r="I4" s="23" t="s">
        <v>26</v>
      </c>
      <c r="J4" s="23" t="s">
        <v>27</v>
      </c>
      <c r="K4" s="23" t="s">
        <v>29</v>
      </c>
      <c r="L4" s="23" t="s">
        <v>30</v>
      </c>
      <c r="M4" s="23" t="s">
        <v>31</v>
      </c>
      <c r="N4" s="27" t="s">
        <v>33</v>
      </c>
      <c r="O4" s="27" t="s">
        <v>35</v>
      </c>
      <c r="P4" s="8" t="s">
        <v>36</v>
      </c>
    </row>
    <row r="5" ht="25.5" customHeight="1">
      <c r="A5" s="31">
        <f t="shared" ref="A5:A9" si="1">IF(B5="","",ROW()-4)</f>
        <v>1</v>
      </c>
      <c r="B5" s="32" t="s">
        <v>39</v>
      </c>
      <c r="C5" s="33"/>
      <c r="D5" s="32"/>
      <c r="E5" s="32"/>
      <c r="F5" s="32" t="s">
        <v>44</v>
      </c>
      <c r="G5" s="44">
        <f t="array" ref="G5">IFERROR(IF(INDEX(MaestroLotes!$F:$F,MATCH(F5,MaestroLotes!$D:$D,0))="",INDEX(MaestroLotes!$E:$E,MATCH(F5,MaestroLotes!$D:$D,0)),INDEX(MaestroLotes!$F:$F,MATCH(F5,MaestroLotes!$D:$D,0))),"")</f>
        <v>900</v>
      </c>
      <c r="H5" s="33" t="s">
        <v>57</v>
      </c>
      <c r="I5" s="48">
        <v>28000.0</v>
      </c>
      <c r="J5" s="51">
        <f>IF(AND(H5="",O5=""),0,SUMIFS(FlujoCajaACTUAL!$E:$E,FlujoCajaACTUAL!$D:$D,H5)+N(O5))</f>
        <v>27160</v>
      </c>
      <c r="K5" s="51">
        <f t="shared" ref="K5:K8" si="2">IF(I5="","",M5-J5)</f>
        <v>0</v>
      </c>
      <c r="L5" s="51">
        <f t="shared" ref="L5:L9" si="3">IF(I5="","",I5*IF(P5="",$L$3,P5))</f>
        <v>840</v>
      </c>
      <c r="M5" s="57">
        <f t="shared" ref="M5:M9" si="4">IF(I5="","",I5-L5)</f>
        <v>27160</v>
      </c>
      <c r="N5" s="60" t="s">
        <v>90</v>
      </c>
      <c r="P5" s="62">
        <v>0.03</v>
      </c>
    </row>
    <row r="6" ht="25.5" customHeight="1">
      <c r="A6" s="64">
        <f t="shared" si="1"/>
        <v>2</v>
      </c>
      <c r="B6" s="65" t="s">
        <v>92</v>
      </c>
      <c r="C6" s="67"/>
      <c r="D6" s="65"/>
      <c r="E6" s="65"/>
      <c r="F6" s="65" t="s">
        <v>95</v>
      </c>
      <c r="G6" s="79">
        <f t="array" ref="G6">IFERROR(IF(INDEX(MaestroLotes!$F:$F,MATCH(F6,MaestroLotes!$D:$D,0))="",INDEX(MaestroLotes!$E:$E,MATCH(F6,MaestroLotes!$D:$D,0)),INDEX(MaestroLotes!$F:$F,MATCH(F6,MaestroLotes!$D:$D,0))),"")</f>
        <v>900</v>
      </c>
      <c r="H6" s="67" t="s">
        <v>99</v>
      </c>
      <c r="I6" s="82">
        <v>28000.0</v>
      </c>
      <c r="J6" s="90">
        <f>IF(AND(H6="",O6=""),0,SUMIFS(FlujoCajaACTUAL!$E:$E,FlujoCajaACTUAL!$D:$D,H6)+N(O6))</f>
        <v>27160</v>
      </c>
      <c r="K6" s="90">
        <f t="shared" si="2"/>
        <v>0</v>
      </c>
      <c r="L6" s="90">
        <f t="shared" si="3"/>
        <v>840</v>
      </c>
      <c r="M6" s="95">
        <f t="shared" si="4"/>
        <v>27160</v>
      </c>
      <c r="N6" s="98" t="s">
        <v>90</v>
      </c>
      <c r="P6" s="62">
        <v>0.03</v>
      </c>
    </row>
    <row r="7" ht="25.5" customHeight="1">
      <c r="A7" s="31">
        <f t="shared" si="1"/>
        <v>3</v>
      </c>
      <c r="B7" s="32" t="s">
        <v>108</v>
      </c>
      <c r="C7" s="33"/>
      <c r="D7" s="32"/>
      <c r="E7" s="32"/>
      <c r="F7" s="32" t="s">
        <v>109</v>
      </c>
      <c r="G7" s="44">
        <f t="array" ref="G7">IFERROR(IF(INDEX(MaestroLotes!$F:$F,MATCH(F7,MaestroLotes!$D:$D,0))="",INDEX(MaestroLotes!$E:$E,MATCH(F7,MaestroLotes!$D:$D,0)),INDEX(MaestroLotes!$F:$F,MATCH(F7,MaestroLotes!$D:$D,0))),"")</f>
        <v>465</v>
      </c>
      <c r="H7" s="33" t="s">
        <v>110</v>
      </c>
      <c r="I7" s="48">
        <v>14000.0</v>
      </c>
      <c r="J7" s="51">
        <f>IF(AND(H7="",O7=""),0,SUMIFS(FlujoCajaACTUAL!$E:$E,FlujoCajaACTUAL!$D:$D,H7)+N(O7))</f>
        <v>14000</v>
      </c>
      <c r="K7" s="51">
        <f t="shared" si="2"/>
        <v>0</v>
      </c>
      <c r="L7" s="51">
        <f t="shared" si="3"/>
        <v>0</v>
      </c>
      <c r="M7" s="57">
        <f t="shared" si="4"/>
        <v>14000</v>
      </c>
      <c r="N7" s="33" t="s">
        <v>90</v>
      </c>
      <c r="P7" s="62">
        <v>0.0</v>
      </c>
    </row>
    <row r="8" ht="25.5" customHeight="1">
      <c r="A8" s="64">
        <f t="shared" si="1"/>
        <v>4</v>
      </c>
      <c r="B8" s="65" t="s">
        <v>117</v>
      </c>
      <c r="C8" s="67"/>
      <c r="D8" s="65"/>
      <c r="E8" s="65"/>
      <c r="F8" s="65" t="s">
        <v>119</v>
      </c>
      <c r="G8" s="79">
        <f t="array" ref="G8">IFERROR(IF(INDEX(MaestroLotes!$F:$F,MATCH(F8,MaestroLotes!$D:$D,0))="",INDEX(MaestroLotes!$E:$E,MATCH(F8,MaestroLotes!$D:$D,0)),INDEX(MaestroLotes!$F:$F,MATCH(F8,MaestroLotes!$D:$D,0))),"")</f>
        <v>465</v>
      </c>
      <c r="H8" s="67" t="s">
        <v>121</v>
      </c>
      <c r="I8" s="124">
        <v>16500.0</v>
      </c>
      <c r="J8" s="90">
        <f>I8/2</f>
        <v>8250</v>
      </c>
      <c r="K8" s="90">
        <f t="shared" si="2"/>
        <v>7755</v>
      </c>
      <c r="L8" s="90">
        <f t="shared" si="3"/>
        <v>495</v>
      </c>
      <c r="M8" s="95">
        <f t="shared" si="4"/>
        <v>16005</v>
      </c>
      <c r="N8" s="67" t="s">
        <v>90</v>
      </c>
      <c r="P8" s="62">
        <v>0.03</v>
      </c>
    </row>
    <row r="9" ht="25.5" customHeight="1">
      <c r="A9" s="31">
        <f t="shared" si="1"/>
        <v>5</v>
      </c>
      <c r="B9" s="133" t="s">
        <v>125</v>
      </c>
      <c r="C9" s="33"/>
      <c r="D9" s="32"/>
      <c r="E9" s="32"/>
      <c r="F9" s="32" t="s">
        <v>126</v>
      </c>
      <c r="G9" s="44">
        <f t="array" ref="G9">IFERROR(IF(INDEX(MaestroLotes!$F:$F,MATCH(F9,MaestroLotes!$D:$D,0))="",INDEX(MaestroLotes!$E:$E,MATCH(F9,MaestroLotes!$D:$D,0)),INDEX(MaestroLotes!$F:$F,MATCH(F9,MaestroLotes!$D:$D,0))),"")</f>
        <v>492.5</v>
      </c>
      <c r="H9" s="33" t="s">
        <v>127</v>
      </c>
      <c r="I9" s="143">
        <v>16500.0</v>
      </c>
      <c r="J9" s="144">
        <v>16000.0</v>
      </c>
      <c r="K9" s="51"/>
      <c r="L9" s="51">
        <f t="shared" si="3"/>
        <v>495</v>
      </c>
      <c r="M9" s="57">
        <f t="shared" si="4"/>
        <v>16005</v>
      </c>
      <c r="N9" s="33" t="s">
        <v>90</v>
      </c>
      <c r="P9" s="62">
        <v>0.03</v>
      </c>
    </row>
    <row r="10" ht="25.5" customHeight="1">
      <c r="A10" s="31"/>
      <c r="B10" s="146"/>
      <c r="C10" s="33"/>
      <c r="D10" s="32"/>
      <c r="E10" s="32"/>
      <c r="F10" s="146"/>
      <c r="G10" s="44"/>
      <c r="H10" s="33"/>
      <c r="I10" s="48"/>
      <c r="J10" s="51">
        <v>0.0</v>
      </c>
      <c r="K10" s="51"/>
      <c r="L10" s="51"/>
      <c r="M10" s="57"/>
      <c r="N10" s="60"/>
      <c r="P10" s="62"/>
    </row>
    <row r="11" ht="25.5" customHeight="1">
      <c r="A11" s="152"/>
      <c r="B11" s="154"/>
      <c r="C11" s="67"/>
      <c r="D11" s="65"/>
      <c r="E11" s="65"/>
      <c r="F11" s="65"/>
      <c r="G11" s="79"/>
      <c r="H11" s="67"/>
      <c r="I11" s="82"/>
      <c r="J11" s="90"/>
      <c r="K11" s="90"/>
      <c r="L11" s="90"/>
      <c r="M11" s="95"/>
      <c r="N11" s="98"/>
      <c r="P11" s="62"/>
    </row>
    <row r="12" ht="25.5" customHeight="1">
      <c r="A12" s="64" t="str">
        <f t="shared" ref="A12:A34" si="5">IF(B12="","",ROW()-4)</f>
        <v/>
      </c>
      <c r="B12" s="162"/>
      <c r="C12" s="67"/>
      <c r="D12" s="65"/>
      <c r="E12" s="65"/>
      <c r="F12" s="162"/>
      <c r="G12" s="79" t="str">
        <f t="array" ref="G12">IFERROR(IF(INDEX(MaestroLotes!$F:$F,MATCH(F12,MaestroLotes!$D:$D,0))="",INDEX(MaestroLotes!$E:$E,MATCH(F12,MaestroLotes!$D:$D,0)),INDEX(MaestroLotes!$F:$F,MATCH(F12,MaestroLotes!$D:$D,0))),"")</f>
        <v/>
      </c>
      <c r="H12" s="98"/>
      <c r="I12" s="82"/>
      <c r="J12" s="90">
        <f>IF(AND(H12="",O12=""),0,SUMIFS(FlujoCajaACTUAL!$E:$E,FlujoCajaACTUAL!$D:$D,H12)+N(O12))</f>
        <v>0</v>
      </c>
      <c r="K12" s="90" t="str">
        <f t="shared" ref="K12:K34" si="6">IF(I12="","",M12-J12)</f>
        <v/>
      </c>
      <c r="L12" s="90" t="str">
        <f t="shared" ref="L12:L34" si="7">IF(I12="","",I12*IF(P12="",$L$3,P12))</f>
        <v/>
      </c>
      <c r="M12" s="95" t="str">
        <f t="shared" ref="M12:M34" si="8">IF(I12="","",I12-L12)</f>
        <v/>
      </c>
      <c r="N12" s="67"/>
      <c r="P12" s="62"/>
    </row>
    <row r="13" ht="25.5" customHeight="1">
      <c r="A13" s="31" t="str">
        <f t="shared" si="5"/>
        <v/>
      </c>
      <c r="B13" s="133"/>
      <c r="C13" s="33"/>
      <c r="D13" s="32"/>
      <c r="E13" s="32"/>
      <c r="F13" s="32"/>
      <c r="G13" s="44" t="str">
        <f t="array" ref="G13">IFERROR(IF(INDEX(MaestroLotes!$F:$F,MATCH(F13,MaestroLotes!$D:$D,0))="",INDEX(MaestroLotes!$E:$E,MATCH(F13,MaestroLotes!$D:$D,0)),INDEX(MaestroLotes!$F:$F,MATCH(F13,MaestroLotes!$D:$D,0))),"")</f>
        <v/>
      </c>
      <c r="H13" s="33"/>
      <c r="I13" s="48"/>
      <c r="J13" s="51">
        <f>IF(AND(H13="",O13=""),0,SUMIFS(FlujoCajaACTUAL!$E:$E,FlujoCajaACTUAL!$D:$D,H13)+N(O13))</f>
        <v>0</v>
      </c>
      <c r="K13" s="51" t="str">
        <f t="shared" si="6"/>
        <v/>
      </c>
      <c r="L13" s="51" t="str">
        <f t="shared" si="7"/>
        <v/>
      </c>
      <c r="M13" s="57" t="str">
        <f t="shared" si="8"/>
        <v/>
      </c>
      <c r="N13" s="33"/>
      <c r="P13" s="62"/>
    </row>
    <row r="14" ht="25.5" customHeight="1">
      <c r="A14" s="64" t="str">
        <f t="shared" si="5"/>
        <v/>
      </c>
      <c r="B14" s="65"/>
      <c r="C14" s="67"/>
      <c r="D14" s="65"/>
      <c r="E14" s="65"/>
      <c r="F14" s="65"/>
      <c r="G14" s="79" t="str">
        <f t="array" ref="G14">IFERROR(IF(INDEX(MaestroLotes!$F:$F,MATCH(F14,MaestroLotes!$D:$D,0))="",INDEX(MaestroLotes!$E:$E,MATCH(F14,MaestroLotes!$D:$D,0)),INDEX(MaestroLotes!$F:$F,MATCH(F14,MaestroLotes!$D:$D,0))),"")</f>
        <v/>
      </c>
      <c r="H14" s="67"/>
      <c r="I14" s="82"/>
      <c r="J14" s="90">
        <f>IF(AND(H14="",O14=""),0,SUMIFS(FlujoCajaACTUAL!$E:$E,FlujoCajaACTUAL!$D:$D,H14)+N(O14))</f>
        <v>0</v>
      </c>
      <c r="K14" s="90" t="str">
        <f t="shared" si="6"/>
        <v/>
      </c>
      <c r="L14" s="90" t="str">
        <f t="shared" si="7"/>
        <v/>
      </c>
      <c r="M14" s="95" t="str">
        <f t="shared" si="8"/>
        <v/>
      </c>
      <c r="N14" s="67"/>
      <c r="P14" s="62"/>
    </row>
    <row r="15" ht="25.5" customHeight="1">
      <c r="A15" s="31" t="str">
        <f t="shared" si="5"/>
        <v/>
      </c>
      <c r="B15" s="32"/>
      <c r="C15" s="33"/>
      <c r="D15" s="32"/>
      <c r="E15" s="32"/>
      <c r="F15" s="32"/>
      <c r="G15" s="44" t="str">
        <f t="array" ref="G15">IFERROR(IF(INDEX(MaestroLotes!$F:$F,MATCH(F15,MaestroLotes!$D:$D,0))="",INDEX(MaestroLotes!$E:$E,MATCH(F15,MaestroLotes!$D:$D,0)),INDEX(MaestroLotes!$F:$F,MATCH(F15,MaestroLotes!$D:$D,0))),"")</f>
        <v/>
      </c>
      <c r="H15" s="33"/>
      <c r="I15" s="48"/>
      <c r="J15" s="51">
        <f>IF(AND(H15="",O15=""),0,SUMIFS(FlujoCajaACTUAL!$E:$E,FlujoCajaACTUAL!$D:$D,H15)+N(O15))</f>
        <v>0</v>
      </c>
      <c r="K15" s="51" t="str">
        <f t="shared" si="6"/>
        <v/>
      </c>
      <c r="L15" s="51" t="str">
        <f t="shared" si="7"/>
        <v/>
      </c>
      <c r="M15" s="57" t="str">
        <f t="shared" si="8"/>
        <v/>
      </c>
      <c r="N15" s="33"/>
      <c r="P15" s="62"/>
    </row>
    <row r="16" ht="25.5" customHeight="1">
      <c r="A16" s="64" t="str">
        <f t="shared" si="5"/>
        <v/>
      </c>
      <c r="B16" s="65"/>
      <c r="C16" s="67"/>
      <c r="D16" s="65"/>
      <c r="E16" s="65"/>
      <c r="F16" s="65"/>
      <c r="G16" s="79" t="str">
        <f t="array" ref="G16">IFERROR(IF(INDEX(MaestroLotes!$F:$F,MATCH(F16,MaestroLotes!$D:$D,0))="",INDEX(MaestroLotes!$E:$E,MATCH(F16,MaestroLotes!$D:$D,0)),INDEX(MaestroLotes!$F:$F,MATCH(F16,MaestroLotes!$D:$D,0))),"")</f>
        <v/>
      </c>
      <c r="H16" s="67"/>
      <c r="I16" s="82"/>
      <c r="J16" s="90">
        <f>IF(AND(H16="",O16=""),0,SUMIFS(FlujoCajaACTUAL!$E:$E,FlujoCajaACTUAL!$D:$D,H16)+N(O16))</f>
        <v>0</v>
      </c>
      <c r="K16" s="90" t="str">
        <f t="shared" si="6"/>
        <v/>
      </c>
      <c r="L16" s="90" t="str">
        <f t="shared" si="7"/>
        <v/>
      </c>
      <c r="M16" s="95" t="str">
        <f t="shared" si="8"/>
        <v/>
      </c>
      <c r="N16" s="67"/>
      <c r="P16" s="62"/>
    </row>
    <row r="17" ht="25.5" customHeight="1">
      <c r="A17" s="31" t="str">
        <f t="shared" si="5"/>
        <v/>
      </c>
      <c r="B17" s="32"/>
      <c r="C17" s="33"/>
      <c r="D17" s="32"/>
      <c r="E17" s="32"/>
      <c r="F17" s="32"/>
      <c r="G17" s="44" t="str">
        <f t="array" ref="G17">IFERROR(IF(INDEX(MaestroLotes!$F:$F,MATCH(F17,MaestroLotes!$D:$D,0))="",INDEX(MaestroLotes!$E:$E,MATCH(F17,MaestroLotes!$D:$D,0)),INDEX(MaestroLotes!$F:$F,MATCH(F17,MaestroLotes!$D:$D,0))),"")</f>
        <v/>
      </c>
      <c r="H17" s="33"/>
      <c r="I17" s="48"/>
      <c r="J17" s="51">
        <f>IF(AND(H17="",O17=""),0,SUMIFS(FlujoCajaACTUAL!$E:$E,FlujoCajaACTUAL!$D:$D,H17)+N(O17))</f>
        <v>0</v>
      </c>
      <c r="K17" s="51" t="str">
        <f t="shared" si="6"/>
        <v/>
      </c>
      <c r="L17" s="51" t="str">
        <f t="shared" si="7"/>
        <v/>
      </c>
      <c r="M17" s="57" t="str">
        <f t="shared" si="8"/>
        <v/>
      </c>
      <c r="N17" s="33"/>
      <c r="P17" s="62"/>
    </row>
    <row r="18" ht="25.5" customHeight="1">
      <c r="A18" s="64" t="str">
        <f t="shared" si="5"/>
        <v/>
      </c>
      <c r="B18" s="65"/>
      <c r="C18" s="67"/>
      <c r="D18" s="65"/>
      <c r="E18" s="65"/>
      <c r="F18" s="65"/>
      <c r="G18" s="79" t="str">
        <f t="array" ref="G18">IFERROR(IF(INDEX(MaestroLotes!$F:$F,MATCH(F18,MaestroLotes!$D:$D,0))="",INDEX(MaestroLotes!$E:$E,MATCH(F18,MaestroLotes!$D:$D,0)),INDEX(MaestroLotes!$F:$F,MATCH(F18,MaestroLotes!$D:$D,0))),"")</f>
        <v/>
      </c>
      <c r="H18" s="67"/>
      <c r="I18" s="82"/>
      <c r="J18" s="90">
        <f>IF(AND(H18="",O18=""),0,SUMIFS(FlujoCajaACTUAL!$E:$E,FlujoCajaACTUAL!$D:$D,H18)+N(O18))</f>
        <v>0</v>
      </c>
      <c r="K18" s="90" t="str">
        <f t="shared" si="6"/>
        <v/>
      </c>
      <c r="L18" s="90" t="str">
        <f t="shared" si="7"/>
        <v/>
      </c>
      <c r="M18" s="95" t="str">
        <f t="shared" si="8"/>
        <v/>
      </c>
      <c r="N18" s="67"/>
      <c r="P18" s="62"/>
    </row>
    <row r="19" ht="25.5" customHeight="1">
      <c r="A19" s="31" t="str">
        <f t="shared" si="5"/>
        <v/>
      </c>
      <c r="B19" s="32"/>
      <c r="C19" s="33"/>
      <c r="D19" s="32"/>
      <c r="E19" s="32"/>
      <c r="F19" s="32"/>
      <c r="G19" s="44" t="str">
        <f t="array" ref="G19">IFERROR(IF(INDEX(MaestroLotes!$F:$F,MATCH(F19,MaestroLotes!$D:$D,0))="",INDEX(MaestroLotes!$E:$E,MATCH(F19,MaestroLotes!$D:$D,0)),INDEX(MaestroLotes!$F:$F,MATCH(F19,MaestroLotes!$D:$D,0))),"")</f>
        <v/>
      </c>
      <c r="H19" s="33"/>
      <c r="I19" s="48"/>
      <c r="J19" s="51">
        <f>IF(AND(H19="",O19=""),0,SUMIFS(FlujoCajaACTUAL!$E:$E,FlujoCajaACTUAL!$D:$D,H19)+N(O19))</f>
        <v>0</v>
      </c>
      <c r="K19" s="51" t="str">
        <f t="shared" si="6"/>
        <v/>
      </c>
      <c r="L19" s="51" t="str">
        <f t="shared" si="7"/>
        <v/>
      </c>
      <c r="M19" s="57" t="str">
        <f t="shared" si="8"/>
        <v/>
      </c>
      <c r="N19" s="33"/>
      <c r="P19" s="62"/>
    </row>
    <row r="20" ht="25.5" customHeight="1">
      <c r="A20" s="64" t="str">
        <f t="shared" si="5"/>
        <v/>
      </c>
      <c r="B20" s="65"/>
      <c r="C20" s="67"/>
      <c r="D20" s="65"/>
      <c r="E20" s="65"/>
      <c r="F20" s="65"/>
      <c r="G20" s="79" t="str">
        <f t="array" ref="G20">IFERROR(IF(INDEX(MaestroLotes!$F:$F,MATCH(F20,MaestroLotes!$D:$D,0))="",INDEX(MaestroLotes!$E:$E,MATCH(F20,MaestroLotes!$D:$D,0)),INDEX(MaestroLotes!$F:$F,MATCH(F20,MaestroLotes!$D:$D,0))),"")</f>
        <v/>
      </c>
      <c r="H20" s="67"/>
      <c r="I20" s="82"/>
      <c r="J20" s="90">
        <f>IF(AND(H20="",O20=""),0,SUMIFS(FlujoCajaACTUAL!$E:$E,FlujoCajaACTUAL!$D:$D,H20)+N(O20))</f>
        <v>0</v>
      </c>
      <c r="K20" s="90" t="str">
        <f t="shared" si="6"/>
        <v/>
      </c>
      <c r="L20" s="90" t="str">
        <f t="shared" si="7"/>
        <v/>
      </c>
      <c r="M20" s="95" t="str">
        <f t="shared" si="8"/>
        <v/>
      </c>
      <c r="N20" s="67"/>
      <c r="P20" s="62"/>
    </row>
    <row r="21" ht="25.5" customHeight="1">
      <c r="A21" s="31" t="str">
        <f t="shared" si="5"/>
        <v/>
      </c>
      <c r="B21" s="32"/>
      <c r="C21" s="33"/>
      <c r="D21" s="32"/>
      <c r="E21" s="32"/>
      <c r="F21" s="32"/>
      <c r="G21" s="44" t="str">
        <f t="array" ref="G21">IFERROR(IF(INDEX(MaestroLotes!$F:$F,MATCH(F21,MaestroLotes!$D:$D,0))="",INDEX(MaestroLotes!$E:$E,MATCH(F21,MaestroLotes!$D:$D,0)),INDEX(MaestroLotes!$F:$F,MATCH(F21,MaestroLotes!$D:$D,0))),"")</f>
        <v/>
      </c>
      <c r="H21" s="33"/>
      <c r="I21" s="48"/>
      <c r="J21" s="51">
        <f>IF(AND(H21="",O21=""),0,SUMIFS(FlujoCajaACTUAL!$E:$E,FlujoCajaACTUAL!$D:$D,H21)+N(O21))</f>
        <v>0</v>
      </c>
      <c r="K21" s="51" t="str">
        <f t="shared" si="6"/>
        <v/>
      </c>
      <c r="L21" s="51" t="str">
        <f t="shared" si="7"/>
        <v/>
      </c>
      <c r="M21" s="57" t="str">
        <f t="shared" si="8"/>
        <v/>
      </c>
      <c r="N21" s="33"/>
      <c r="P21" s="62"/>
    </row>
    <row r="22" ht="25.5" customHeight="1">
      <c r="A22" s="64" t="str">
        <f t="shared" si="5"/>
        <v/>
      </c>
      <c r="B22" s="65"/>
      <c r="C22" s="67"/>
      <c r="D22" s="65"/>
      <c r="E22" s="65"/>
      <c r="F22" s="65"/>
      <c r="G22" s="79" t="str">
        <f t="array" ref="G22">IFERROR(IF(INDEX(MaestroLotes!$F:$F,MATCH(F22,MaestroLotes!$D:$D,0))="",INDEX(MaestroLotes!$E:$E,MATCH(F22,MaestroLotes!$D:$D,0)),INDEX(MaestroLotes!$F:$F,MATCH(F22,MaestroLotes!$D:$D,0))),"")</f>
        <v/>
      </c>
      <c r="H22" s="67"/>
      <c r="I22" s="82"/>
      <c r="J22" s="90">
        <f>IF(AND(H22="",O22=""),0,SUMIFS(FlujoCajaACTUAL!$E:$E,FlujoCajaACTUAL!$D:$D,H22)+N(O22))</f>
        <v>0</v>
      </c>
      <c r="K22" s="90" t="str">
        <f t="shared" si="6"/>
        <v/>
      </c>
      <c r="L22" s="90" t="str">
        <f t="shared" si="7"/>
        <v/>
      </c>
      <c r="M22" s="95" t="str">
        <f t="shared" si="8"/>
        <v/>
      </c>
      <c r="N22" s="67"/>
      <c r="P22" s="62"/>
    </row>
    <row r="23" ht="25.5" customHeight="1">
      <c r="A23" s="31" t="str">
        <f t="shared" si="5"/>
        <v/>
      </c>
      <c r="B23" s="32"/>
      <c r="C23" s="33"/>
      <c r="D23" s="32"/>
      <c r="E23" s="32"/>
      <c r="F23" s="32"/>
      <c r="G23" s="44" t="str">
        <f t="array" ref="G23">IFERROR(IF(INDEX(MaestroLotes!$F:$F,MATCH(F23,MaestroLotes!$D:$D,0))="",INDEX(MaestroLotes!$E:$E,MATCH(F23,MaestroLotes!$D:$D,0)),INDEX(MaestroLotes!$F:$F,MATCH(F23,MaestroLotes!$D:$D,0))),"")</f>
        <v/>
      </c>
      <c r="H23" s="33"/>
      <c r="I23" s="48"/>
      <c r="J23" s="51">
        <f>IF(AND(H23="",O23=""),0,SUMIFS(FlujoCajaACTUAL!$E:$E,FlujoCajaACTUAL!$D:$D,H23)+N(O23))</f>
        <v>0</v>
      </c>
      <c r="K23" s="51" t="str">
        <f t="shared" si="6"/>
        <v/>
      </c>
      <c r="L23" s="51" t="str">
        <f t="shared" si="7"/>
        <v/>
      </c>
      <c r="M23" s="57" t="str">
        <f t="shared" si="8"/>
        <v/>
      </c>
      <c r="N23" s="33"/>
      <c r="P23" s="62"/>
    </row>
    <row r="24" ht="25.5" customHeight="1">
      <c r="A24" s="64" t="str">
        <f t="shared" si="5"/>
        <v/>
      </c>
      <c r="B24" s="65"/>
      <c r="C24" s="67"/>
      <c r="D24" s="65"/>
      <c r="E24" s="65"/>
      <c r="F24" s="65"/>
      <c r="G24" s="79" t="str">
        <f t="array" ref="G24">IFERROR(IF(INDEX(MaestroLotes!$F:$F,MATCH(F24,MaestroLotes!$D:$D,0))="",INDEX(MaestroLotes!$E:$E,MATCH(F24,MaestroLotes!$D:$D,0)),INDEX(MaestroLotes!$F:$F,MATCH(F24,MaestroLotes!$D:$D,0))),"")</f>
        <v/>
      </c>
      <c r="H24" s="67"/>
      <c r="I24" s="82"/>
      <c r="J24" s="90">
        <f>IF(AND(H24="",O24=""),0,SUMIFS(FlujoCajaACTUAL!$E:$E,FlujoCajaACTUAL!$D:$D,H24)+N(O24))</f>
        <v>0</v>
      </c>
      <c r="K24" s="90" t="str">
        <f t="shared" si="6"/>
        <v/>
      </c>
      <c r="L24" s="90" t="str">
        <f t="shared" si="7"/>
        <v/>
      </c>
      <c r="M24" s="95" t="str">
        <f t="shared" si="8"/>
        <v/>
      </c>
      <c r="N24" s="67"/>
      <c r="P24" s="62"/>
    </row>
    <row r="25" ht="25.5" customHeight="1">
      <c r="A25" s="31" t="str">
        <f t="shared" si="5"/>
        <v/>
      </c>
      <c r="B25" s="32"/>
      <c r="C25" s="33"/>
      <c r="D25" s="32"/>
      <c r="E25" s="32"/>
      <c r="F25" s="32"/>
      <c r="G25" s="44" t="str">
        <f t="array" ref="G25">IFERROR(IF(INDEX(MaestroLotes!$F:$F,MATCH(F25,MaestroLotes!$D:$D,0))="",INDEX(MaestroLotes!$E:$E,MATCH(F25,MaestroLotes!$D:$D,0)),INDEX(MaestroLotes!$F:$F,MATCH(F25,MaestroLotes!$D:$D,0))),"")</f>
        <v/>
      </c>
      <c r="H25" s="33"/>
      <c r="I25" s="48"/>
      <c r="J25" s="51">
        <f>IF(AND(H25="",O25=""),0,SUMIFS(FlujoCajaACTUAL!$E:$E,FlujoCajaACTUAL!$D:$D,H25)+N(O25))</f>
        <v>0</v>
      </c>
      <c r="K25" s="51" t="str">
        <f t="shared" si="6"/>
        <v/>
      </c>
      <c r="L25" s="51" t="str">
        <f t="shared" si="7"/>
        <v/>
      </c>
      <c r="M25" s="57" t="str">
        <f t="shared" si="8"/>
        <v/>
      </c>
      <c r="N25" s="33"/>
      <c r="P25" s="62"/>
    </row>
    <row r="26" ht="25.5" customHeight="1">
      <c r="A26" s="64" t="str">
        <f t="shared" si="5"/>
        <v/>
      </c>
      <c r="B26" s="65"/>
      <c r="C26" s="67"/>
      <c r="D26" s="65"/>
      <c r="E26" s="65"/>
      <c r="F26" s="65"/>
      <c r="G26" s="79" t="str">
        <f t="array" ref="G26">IFERROR(IF(INDEX(MaestroLotes!$F:$F,MATCH(F26,MaestroLotes!$D:$D,0))="",INDEX(MaestroLotes!$E:$E,MATCH(F26,MaestroLotes!$D:$D,0)),INDEX(MaestroLotes!$F:$F,MATCH(F26,MaestroLotes!$D:$D,0))),"")</f>
        <v/>
      </c>
      <c r="H26" s="67"/>
      <c r="I26" s="82"/>
      <c r="J26" s="90">
        <f>IF(AND(H26="",O26=""),0,SUMIFS(FlujoCajaACTUAL!$E:$E,FlujoCajaACTUAL!$D:$D,H26)+N(O26))</f>
        <v>0</v>
      </c>
      <c r="K26" s="90" t="str">
        <f t="shared" si="6"/>
        <v/>
      </c>
      <c r="L26" s="90" t="str">
        <f t="shared" si="7"/>
        <v/>
      </c>
      <c r="M26" s="95" t="str">
        <f t="shared" si="8"/>
        <v/>
      </c>
      <c r="N26" s="67"/>
      <c r="P26" s="62"/>
    </row>
    <row r="27" ht="25.5" customHeight="1">
      <c r="A27" s="31" t="str">
        <f t="shared" si="5"/>
        <v/>
      </c>
      <c r="B27" s="32"/>
      <c r="C27" s="33"/>
      <c r="D27" s="32"/>
      <c r="E27" s="32"/>
      <c r="F27" s="32"/>
      <c r="G27" s="44" t="str">
        <f t="array" ref="G27">IFERROR(IF(INDEX(MaestroLotes!$F:$F,MATCH(F27,MaestroLotes!$D:$D,0))="",INDEX(MaestroLotes!$E:$E,MATCH(F27,MaestroLotes!$D:$D,0)),INDEX(MaestroLotes!$F:$F,MATCH(F27,MaestroLotes!$D:$D,0))),"")</f>
        <v/>
      </c>
      <c r="H27" s="33"/>
      <c r="I27" s="48"/>
      <c r="J27" s="51">
        <f>IF(AND(H27="",O27=""),0,SUMIFS(FlujoCajaACTUAL!$E:$E,FlujoCajaACTUAL!$D:$D,H27)+N(O27))</f>
        <v>0</v>
      </c>
      <c r="K27" s="51" t="str">
        <f t="shared" si="6"/>
        <v/>
      </c>
      <c r="L27" s="51" t="str">
        <f t="shared" si="7"/>
        <v/>
      </c>
      <c r="M27" s="57" t="str">
        <f t="shared" si="8"/>
        <v/>
      </c>
      <c r="N27" s="33"/>
      <c r="P27" s="62"/>
    </row>
    <row r="28" ht="25.5" customHeight="1">
      <c r="A28" s="64" t="str">
        <f t="shared" si="5"/>
        <v/>
      </c>
      <c r="B28" s="65"/>
      <c r="C28" s="67"/>
      <c r="D28" s="65"/>
      <c r="E28" s="65"/>
      <c r="F28" s="65"/>
      <c r="G28" s="79" t="str">
        <f t="array" ref="G28">IFERROR(IF(INDEX(MaestroLotes!$F:$F,MATCH(F28,MaestroLotes!$D:$D,0))="",INDEX(MaestroLotes!$E:$E,MATCH(F28,MaestroLotes!$D:$D,0)),INDEX(MaestroLotes!$F:$F,MATCH(F28,MaestroLotes!$D:$D,0))),"")</f>
        <v/>
      </c>
      <c r="H28" s="67"/>
      <c r="I28" s="82"/>
      <c r="J28" s="90">
        <f>IF(AND(H28="",O28=""),0,SUMIFS(FlujoCajaACTUAL!$E:$E,FlujoCajaACTUAL!$D:$D,H28)+N(O28))</f>
        <v>0</v>
      </c>
      <c r="K28" s="90" t="str">
        <f t="shared" si="6"/>
        <v/>
      </c>
      <c r="L28" s="90" t="str">
        <f t="shared" si="7"/>
        <v/>
      </c>
      <c r="M28" s="95" t="str">
        <f t="shared" si="8"/>
        <v/>
      </c>
      <c r="N28" s="67"/>
      <c r="P28" s="62"/>
    </row>
    <row r="29" ht="25.5" customHeight="1">
      <c r="A29" s="31" t="str">
        <f t="shared" si="5"/>
        <v/>
      </c>
      <c r="B29" s="32"/>
      <c r="C29" s="33"/>
      <c r="D29" s="32"/>
      <c r="E29" s="32"/>
      <c r="F29" s="32"/>
      <c r="G29" s="44" t="str">
        <f t="array" ref="G29">IFERROR(IF(INDEX(MaestroLotes!$F:$F,MATCH(F29,MaestroLotes!$D:$D,0))="",INDEX(MaestroLotes!$E:$E,MATCH(F29,MaestroLotes!$D:$D,0)),INDEX(MaestroLotes!$F:$F,MATCH(F29,MaestroLotes!$D:$D,0))),"")</f>
        <v/>
      </c>
      <c r="H29" s="33"/>
      <c r="I29" s="48"/>
      <c r="J29" s="51">
        <f>IF(AND(H29="",O29=""),0,SUMIFS(FlujoCajaACTUAL!$E:$E,FlujoCajaACTUAL!$D:$D,H29)+N(O29))</f>
        <v>0</v>
      </c>
      <c r="K29" s="51" t="str">
        <f t="shared" si="6"/>
        <v/>
      </c>
      <c r="L29" s="51" t="str">
        <f t="shared" si="7"/>
        <v/>
      </c>
      <c r="M29" s="57" t="str">
        <f t="shared" si="8"/>
        <v/>
      </c>
      <c r="N29" s="33"/>
      <c r="P29" s="62"/>
    </row>
    <row r="30" ht="25.5" customHeight="1">
      <c r="A30" s="64" t="str">
        <f t="shared" si="5"/>
        <v/>
      </c>
      <c r="B30" s="65"/>
      <c r="C30" s="67"/>
      <c r="D30" s="65"/>
      <c r="E30" s="65"/>
      <c r="F30" s="65"/>
      <c r="G30" s="79" t="str">
        <f t="array" ref="G30">IFERROR(IF(INDEX(MaestroLotes!$F:$F,MATCH(F30,MaestroLotes!$D:$D,0))="",INDEX(MaestroLotes!$E:$E,MATCH(F30,MaestroLotes!$D:$D,0)),INDEX(MaestroLotes!$F:$F,MATCH(F30,MaestroLotes!$D:$D,0))),"")</f>
        <v/>
      </c>
      <c r="H30" s="67"/>
      <c r="I30" s="82"/>
      <c r="J30" s="90">
        <f>IF(AND(H30="",O30=""),0,SUMIFS(FlujoCajaACTUAL!$E:$E,FlujoCajaACTUAL!$D:$D,H30)+N(O30))</f>
        <v>0</v>
      </c>
      <c r="K30" s="90" t="str">
        <f t="shared" si="6"/>
        <v/>
      </c>
      <c r="L30" s="90" t="str">
        <f t="shared" si="7"/>
        <v/>
      </c>
      <c r="M30" s="95" t="str">
        <f t="shared" si="8"/>
        <v/>
      </c>
      <c r="N30" s="67"/>
      <c r="P30" s="62"/>
    </row>
    <row r="31" ht="25.5" customHeight="1">
      <c r="A31" s="31" t="str">
        <f t="shared" si="5"/>
        <v/>
      </c>
      <c r="B31" s="32"/>
      <c r="C31" s="33"/>
      <c r="D31" s="32"/>
      <c r="E31" s="32"/>
      <c r="F31" s="32"/>
      <c r="G31" s="44" t="str">
        <f t="array" ref="G31">IFERROR(IF(INDEX(MaestroLotes!$F:$F,MATCH(F31,MaestroLotes!$D:$D,0))="",INDEX(MaestroLotes!$E:$E,MATCH(F31,MaestroLotes!$D:$D,0)),INDEX(MaestroLotes!$F:$F,MATCH(F31,MaestroLotes!$D:$D,0))),"")</f>
        <v/>
      </c>
      <c r="H31" s="33"/>
      <c r="I31" s="48"/>
      <c r="J31" s="51">
        <f>IF(AND(H31="",O31=""),0,SUMIFS(FlujoCajaACTUAL!$E:$E,FlujoCajaACTUAL!$D:$D,H31)+N(O31))</f>
        <v>0</v>
      </c>
      <c r="K31" s="51" t="str">
        <f t="shared" si="6"/>
        <v/>
      </c>
      <c r="L31" s="51" t="str">
        <f t="shared" si="7"/>
        <v/>
      </c>
      <c r="M31" s="57" t="str">
        <f t="shared" si="8"/>
        <v/>
      </c>
      <c r="N31" s="33"/>
      <c r="P31" s="62"/>
    </row>
    <row r="32" ht="25.5" customHeight="1">
      <c r="A32" s="64" t="str">
        <f t="shared" si="5"/>
        <v/>
      </c>
      <c r="B32" s="65"/>
      <c r="C32" s="67"/>
      <c r="D32" s="65"/>
      <c r="E32" s="65"/>
      <c r="F32" s="65"/>
      <c r="G32" s="79" t="str">
        <f t="array" ref="G32">IFERROR(IF(INDEX(MaestroLotes!$F:$F,MATCH(F32,MaestroLotes!$D:$D,0))="",INDEX(MaestroLotes!$E:$E,MATCH(F32,MaestroLotes!$D:$D,0)),INDEX(MaestroLotes!$F:$F,MATCH(F32,MaestroLotes!$D:$D,0))),"")</f>
        <v/>
      </c>
      <c r="H32" s="67"/>
      <c r="I32" s="82"/>
      <c r="J32" s="90">
        <f>IF(AND(H32="",O32=""),0,SUMIFS(FlujoCajaACTUAL!$E:$E,FlujoCajaACTUAL!$D:$D,H32)+N(O32))</f>
        <v>0</v>
      </c>
      <c r="K32" s="90" t="str">
        <f t="shared" si="6"/>
        <v/>
      </c>
      <c r="L32" s="90" t="str">
        <f t="shared" si="7"/>
        <v/>
      </c>
      <c r="M32" s="95" t="str">
        <f t="shared" si="8"/>
        <v/>
      </c>
      <c r="N32" s="67"/>
      <c r="P32" s="62"/>
    </row>
    <row r="33" ht="25.5" customHeight="1">
      <c r="A33" s="31" t="str">
        <f t="shared" si="5"/>
        <v/>
      </c>
      <c r="B33" s="32"/>
      <c r="C33" s="33"/>
      <c r="D33" s="32"/>
      <c r="E33" s="32"/>
      <c r="F33" s="32"/>
      <c r="G33" s="44" t="str">
        <f t="array" ref="G33">IFERROR(IF(INDEX(MaestroLotes!$F:$F,MATCH(F33,MaestroLotes!$D:$D,0))="",INDEX(MaestroLotes!$E:$E,MATCH(F33,MaestroLotes!$D:$D,0)),INDEX(MaestroLotes!$F:$F,MATCH(F33,MaestroLotes!$D:$D,0))),"")</f>
        <v/>
      </c>
      <c r="H33" s="33"/>
      <c r="I33" s="48"/>
      <c r="J33" s="51">
        <f>IF(AND(H33="",O33=""),0,SUMIFS(FlujoCajaACTUAL!$E:$E,FlujoCajaACTUAL!$D:$D,H33)+N(O33))</f>
        <v>0</v>
      </c>
      <c r="K33" s="51" t="str">
        <f t="shared" si="6"/>
        <v/>
      </c>
      <c r="L33" s="51" t="str">
        <f t="shared" si="7"/>
        <v/>
      </c>
      <c r="M33" s="57" t="str">
        <f t="shared" si="8"/>
        <v/>
      </c>
      <c r="N33" s="33"/>
      <c r="P33" s="62"/>
    </row>
    <row r="34" ht="25.5" customHeight="1">
      <c r="A34" s="64" t="str">
        <f t="shared" si="5"/>
        <v/>
      </c>
      <c r="B34" s="65"/>
      <c r="C34" s="67"/>
      <c r="D34" s="65"/>
      <c r="E34" s="65"/>
      <c r="F34" s="65"/>
      <c r="G34" s="79" t="str">
        <f t="array" ref="G34">IFERROR(IF(INDEX(MaestroLotes!$F:$F,MATCH(F34,MaestroLotes!$D:$D,0))="",INDEX(MaestroLotes!$E:$E,MATCH(F34,MaestroLotes!$D:$D,0)),INDEX(MaestroLotes!$F:$F,MATCH(F34,MaestroLotes!$D:$D,0))),"")</f>
        <v/>
      </c>
      <c r="H34" s="67"/>
      <c r="I34" s="82"/>
      <c r="J34" s="90">
        <f>IF(AND(H34="",O34=""),0,SUMIFS(FlujoCajaACTUAL!$E:$E,FlujoCajaACTUAL!$D:$D,H34)+N(O34))</f>
        <v>0</v>
      </c>
      <c r="K34" s="90" t="str">
        <f t="shared" si="6"/>
        <v/>
      </c>
      <c r="L34" s="90" t="str">
        <f t="shared" si="7"/>
        <v/>
      </c>
      <c r="M34" s="95" t="str">
        <f t="shared" si="8"/>
        <v/>
      </c>
      <c r="N34" s="67"/>
      <c r="P34" s="62"/>
    </row>
    <row r="35" ht="31.5" customHeight="1">
      <c r="A35" s="241" t="s">
        <v>193</v>
      </c>
      <c r="B35" s="41"/>
      <c r="C35" s="41"/>
      <c r="D35" s="41"/>
      <c r="E35" s="41"/>
      <c r="F35" s="41"/>
      <c r="G35" s="41"/>
      <c r="H35" s="46"/>
      <c r="I35" s="242">
        <f t="shared" ref="I35:M35" si="9">SUM(I5:I34)</f>
        <v>103000</v>
      </c>
      <c r="J35" s="242">
        <f t="shared" si="9"/>
        <v>92570</v>
      </c>
      <c r="K35" s="242">
        <f t="shared" si="9"/>
        <v>7755</v>
      </c>
      <c r="L35" s="242">
        <f t="shared" si="9"/>
        <v>2670</v>
      </c>
      <c r="M35" s="242">
        <f t="shared" si="9"/>
        <v>100330</v>
      </c>
      <c r="N35" s="243"/>
      <c r="P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P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P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P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P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P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P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P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P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P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P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P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P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P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P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P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P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P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P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P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P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P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P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P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P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P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P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P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P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P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P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P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P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P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P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P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P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P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P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P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P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P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P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P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P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P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P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P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P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P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P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P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P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P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P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P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P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P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P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P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P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P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P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P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P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P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P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P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P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P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P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P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P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P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P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P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P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P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P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P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P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P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P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P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P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P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P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P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P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P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P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P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P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P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P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P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P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P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P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P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P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P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P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P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P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P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P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P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P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P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P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P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P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P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P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P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P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P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P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P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P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P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P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P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P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P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P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P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P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P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P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P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P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P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P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P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P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P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P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P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P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P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P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P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P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P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P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P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P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P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P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P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P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P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P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P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P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P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P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P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P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P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P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P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P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P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P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P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P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P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P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P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P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P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P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P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P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P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P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P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P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P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P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P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P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P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P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P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P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P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P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P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P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P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P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P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P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P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P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P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P235" s="8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N1"/>
    <mergeCell ref="A2:N2"/>
    <mergeCell ref="A3:C3"/>
    <mergeCell ref="A35:H35"/>
  </mergeCells>
  <dataValidations>
    <dataValidation type="list" allowBlank="1" sqref="F5:F34">
      <formula1>MaestroLotes!$D$6:$D$148</formula1>
    </dataValidation>
    <dataValidation type="list" allowBlank="1" sqref="N5:N34">
      <formula1>"Pendiente,En Trámite,Escriturado,Observado"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6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42.0"/>
    <col customWidth="1" min="2" max="4" width="15.0"/>
    <col customWidth="1" min="5" max="5" width="17.0"/>
    <col customWidth="1" min="6" max="6" width="15.0"/>
    <col customWidth="1" min="7" max="7" width="17.0"/>
    <col customWidth="1" min="8" max="8" width="16.0"/>
    <col customWidth="1" min="9" max="9" width="17.0"/>
    <col customWidth="1" min="10" max="10" width="32.0"/>
  </cols>
  <sheetData>
    <row r="1" ht="48.0" customHeight="1">
      <c r="A1" s="2" t="s">
        <v>196</v>
      </c>
      <c r="B1" s="3"/>
      <c r="C1" s="3"/>
      <c r="D1" s="3"/>
      <c r="E1" s="3"/>
      <c r="F1" s="3"/>
      <c r="G1" s="3"/>
      <c r="H1" s="3"/>
      <c r="I1" s="3"/>
      <c r="J1" s="5"/>
    </row>
    <row r="2" ht="30.0" customHeight="1">
      <c r="A2" s="251" t="s">
        <v>197</v>
      </c>
      <c r="B2" s="3"/>
      <c r="C2" s="3"/>
      <c r="D2" s="3"/>
      <c r="E2" s="3"/>
      <c r="F2" s="3"/>
      <c r="G2" s="3"/>
      <c r="H2" s="3"/>
      <c r="I2" s="3"/>
      <c r="J2" s="5"/>
    </row>
    <row r="3" ht="17.25" customHeight="1">
      <c r="A3" s="252" t="str">
        <f>HYPERLINK("#'Resumen'!A1","◀ Volver al Resumen")</f>
        <v>◀ Volver al Resumen</v>
      </c>
      <c r="B3" s="3"/>
      <c r="C3" s="5"/>
      <c r="D3" s="8"/>
      <c r="E3" s="8"/>
      <c r="F3" s="8"/>
      <c r="G3" s="8"/>
      <c r="H3" s="8"/>
      <c r="I3" s="8"/>
      <c r="J3" s="8"/>
    </row>
    <row r="4" ht="51.75" customHeight="1">
      <c r="A4" s="253" t="s">
        <v>200</v>
      </c>
      <c r="B4" s="253" t="s">
        <v>201</v>
      </c>
      <c r="C4" s="253" t="s">
        <v>202</v>
      </c>
      <c r="D4" s="253" t="s">
        <v>203</v>
      </c>
      <c r="E4" s="254" t="s">
        <v>204</v>
      </c>
      <c r="F4" s="255" t="s">
        <v>205</v>
      </c>
      <c r="G4" s="256" t="s">
        <v>206</v>
      </c>
      <c r="H4" s="257" t="s">
        <v>207</v>
      </c>
      <c r="I4" s="258" t="s">
        <v>208</v>
      </c>
      <c r="J4" s="259" t="s">
        <v>209</v>
      </c>
    </row>
    <row r="5" ht="27.75" customHeight="1">
      <c r="A5" s="260" t="s">
        <v>210</v>
      </c>
      <c r="B5" s="3"/>
      <c r="C5" s="3"/>
      <c r="D5" s="3"/>
      <c r="E5" s="3"/>
      <c r="F5" s="3"/>
      <c r="G5" s="3"/>
      <c r="H5" s="3"/>
      <c r="I5" s="3"/>
      <c r="J5" s="5"/>
    </row>
    <row r="6" ht="27.75" customHeight="1">
      <c r="A6" s="261" t="s">
        <v>212</v>
      </c>
      <c r="B6" s="262">
        <v>17000.0</v>
      </c>
      <c r="C6" s="262">
        <v>28000.0</v>
      </c>
      <c r="D6" s="262">
        <v>35000.0</v>
      </c>
      <c r="E6" s="263">
        <f t="shared" ref="E6:E8" si="1">N(B6)+N(C6)+N(D6)</f>
        <v>80000</v>
      </c>
      <c r="F6" s="265">
        <v>30000.0</v>
      </c>
      <c r="G6" s="262">
        <f t="shared" ref="G6:G7" si="2">E6-F6</f>
        <v>50000</v>
      </c>
      <c r="H6" s="267">
        <v>17000.0</v>
      </c>
      <c r="I6" s="268">
        <f t="shared" ref="I6:I8" si="3">IF(G6="","",N(G6)-N(H6))</f>
        <v>33000</v>
      </c>
      <c r="J6" s="269" t="s">
        <v>213</v>
      </c>
    </row>
    <row r="7" ht="27.75" customHeight="1">
      <c r="A7" s="270" t="s">
        <v>214</v>
      </c>
      <c r="B7" s="271">
        <v>40500.0</v>
      </c>
      <c r="C7" s="271">
        <v>75800.0</v>
      </c>
      <c r="D7" s="271">
        <v>28200.0</v>
      </c>
      <c r="E7" s="272">
        <f t="shared" si="1"/>
        <v>144500</v>
      </c>
      <c r="F7" s="273">
        <v>70000.0</v>
      </c>
      <c r="G7" s="271">
        <f t="shared" si="2"/>
        <v>74500</v>
      </c>
      <c r="H7" s="274">
        <v>25500.0</v>
      </c>
      <c r="I7" s="275">
        <f t="shared" si="3"/>
        <v>49000</v>
      </c>
      <c r="J7" s="276" t="s">
        <v>215</v>
      </c>
    </row>
    <row r="8" ht="27.75" customHeight="1">
      <c r="A8" s="261" t="s">
        <v>217</v>
      </c>
      <c r="B8" s="262">
        <v>25000.0</v>
      </c>
      <c r="C8" s="262">
        <v>25000.0</v>
      </c>
      <c r="D8" s="262">
        <v>25000.0</v>
      </c>
      <c r="E8" s="263">
        <f t="shared" si="1"/>
        <v>75000</v>
      </c>
      <c r="F8" s="265">
        <f>IF(E8="","",N(E8)-N(G8))</f>
        <v>30000</v>
      </c>
      <c r="G8" s="262">
        <v>45000.0</v>
      </c>
      <c r="H8" s="267">
        <v>10000.0</v>
      </c>
      <c r="I8" s="268">
        <f t="shared" si="3"/>
        <v>35000</v>
      </c>
      <c r="J8" s="269" t="s">
        <v>218</v>
      </c>
    </row>
    <row r="9" ht="27.75" customHeight="1">
      <c r="A9" s="277" t="s">
        <v>219</v>
      </c>
      <c r="B9" s="3"/>
      <c r="C9" s="3"/>
      <c r="D9" s="3"/>
      <c r="E9" s="3"/>
      <c r="F9" s="3"/>
      <c r="G9" s="3"/>
      <c r="H9" s="3"/>
      <c r="I9" s="3"/>
      <c r="J9" s="5"/>
    </row>
    <row r="10" ht="27.75" customHeight="1">
      <c r="A10" s="261" t="s">
        <v>220</v>
      </c>
      <c r="B10" s="262"/>
      <c r="C10" s="262"/>
      <c r="D10" s="262"/>
      <c r="E10" s="263">
        <f t="shared" ref="E10:E11" si="4">G10</f>
        <v>50000</v>
      </c>
      <c r="F10" s="265">
        <f t="shared" ref="F10:F12" si="5">IF(E10="","",N(E10)-N(G10))</f>
        <v>0</v>
      </c>
      <c r="G10" s="262">
        <v>50000.0</v>
      </c>
      <c r="H10" s="267">
        <v>25000.0</v>
      </c>
      <c r="I10" s="268">
        <f t="shared" ref="I10:I11" si="6">IF(G10="","",N(G10)-N(H10))</f>
        <v>25000</v>
      </c>
      <c r="J10" s="269" t="s">
        <v>222</v>
      </c>
    </row>
    <row r="11" ht="27.75" customHeight="1">
      <c r="A11" s="270" t="s">
        <v>224</v>
      </c>
      <c r="B11" s="271"/>
      <c r="C11" s="271"/>
      <c r="D11" s="271"/>
      <c r="E11" s="272">
        <f t="shared" si="4"/>
        <v>5650</v>
      </c>
      <c r="F11" s="273">
        <f t="shared" si="5"/>
        <v>0</v>
      </c>
      <c r="G11" s="271">
        <v>5650.0</v>
      </c>
      <c r="H11" s="274">
        <v>0.0</v>
      </c>
      <c r="I11" s="275">
        <f t="shared" si="6"/>
        <v>5650</v>
      </c>
      <c r="J11" s="276" t="s">
        <v>225</v>
      </c>
    </row>
    <row r="12" ht="27.75" customHeight="1">
      <c r="A12" s="278"/>
      <c r="B12" s="279"/>
      <c r="C12" s="279"/>
      <c r="D12" s="279"/>
      <c r="E12" s="280"/>
      <c r="F12" s="281" t="str">
        <f t="shared" si="5"/>
        <v/>
      </c>
      <c r="G12" s="279"/>
      <c r="H12" s="282"/>
      <c r="I12" s="283"/>
      <c r="J12" s="284"/>
    </row>
    <row r="13" ht="27.75" customHeight="1">
      <c r="A13" s="285" t="s">
        <v>226</v>
      </c>
      <c r="B13" s="286">
        <v>0.25</v>
      </c>
      <c r="C13" s="286">
        <v>0.25</v>
      </c>
      <c r="D13" s="286">
        <v>0.25</v>
      </c>
      <c r="E13" s="286">
        <v>0.25</v>
      </c>
      <c r="F13" s="286"/>
      <c r="G13" s="286"/>
      <c r="H13" s="286"/>
      <c r="I13" s="286"/>
      <c r="J13" s="287"/>
      <c r="K13" s="288">
        <v>0.0</v>
      </c>
      <c r="L13" s="288">
        <v>0.0</v>
      </c>
      <c r="M13" s="288">
        <v>0.0</v>
      </c>
      <c r="N13" s="288">
        <v>0.0</v>
      </c>
      <c r="O13" s="288">
        <v>0.0</v>
      </c>
      <c r="P13" s="288">
        <v>0.0</v>
      </c>
      <c r="Q13" s="288">
        <v>0.0</v>
      </c>
      <c r="R13" s="288">
        <v>0.0</v>
      </c>
      <c r="S13" s="288">
        <v>0.0</v>
      </c>
      <c r="T13" s="288">
        <v>1.0</v>
      </c>
      <c r="U13" s="289"/>
      <c r="V13" s="289"/>
      <c r="W13" s="289"/>
      <c r="X13" s="289"/>
      <c r="Y13" s="289"/>
      <c r="Z13" s="289"/>
    </row>
    <row r="14" ht="27.75" customHeight="1">
      <c r="A14" s="290" t="s">
        <v>212</v>
      </c>
      <c r="B14" s="291">
        <f>C6*B13</f>
        <v>7000</v>
      </c>
      <c r="C14" s="291">
        <f>B14</f>
        <v>7000</v>
      </c>
      <c r="D14" s="291">
        <f t="shared" ref="D14:E14" si="7">B14</f>
        <v>7000</v>
      </c>
      <c r="E14" s="291">
        <f t="shared" si="7"/>
        <v>7000</v>
      </c>
      <c r="F14" s="292">
        <f t="shared" ref="F14:F16" si="8">SUM(B14:E14)</f>
        <v>28000</v>
      </c>
      <c r="G14" s="293"/>
      <c r="H14" s="294"/>
      <c r="I14" s="295" t="str">
        <f t="shared" ref="I14:I21" si="9">IF(G14="","",N(G14)-N(H14))</f>
        <v/>
      </c>
      <c r="J14" s="296"/>
    </row>
    <row r="15" ht="27.75" customHeight="1">
      <c r="A15" s="270" t="s">
        <v>214</v>
      </c>
      <c r="B15" s="297">
        <f>I7*B13</f>
        <v>12250</v>
      </c>
      <c r="C15" s="297">
        <v>12250.0</v>
      </c>
      <c r="D15" s="297">
        <v>12250.0</v>
      </c>
      <c r="E15" s="297">
        <v>12250.0</v>
      </c>
      <c r="F15" s="292">
        <f t="shared" si="8"/>
        <v>49000</v>
      </c>
      <c r="G15" s="271"/>
      <c r="H15" s="274"/>
      <c r="I15" s="275" t="str">
        <f t="shared" si="9"/>
        <v/>
      </c>
      <c r="J15" s="276"/>
    </row>
    <row r="16" ht="27.75" customHeight="1">
      <c r="A16" s="261" t="s">
        <v>217</v>
      </c>
      <c r="B16" s="298">
        <f>I8*B13</f>
        <v>8750</v>
      </c>
      <c r="C16" s="298">
        <v>8750.0</v>
      </c>
      <c r="D16" s="298">
        <v>8750.0</v>
      </c>
      <c r="E16" s="298">
        <v>8750.0</v>
      </c>
      <c r="F16" s="292">
        <f t="shared" si="8"/>
        <v>35000</v>
      </c>
      <c r="G16" s="262"/>
      <c r="H16" s="267"/>
      <c r="I16" s="268" t="str">
        <f t="shared" si="9"/>
        <v/>
      </c>
      <c r="J16" s="269"/>
    </row>
    <row r="17" ht="27.75" customHeight="1">
      <c r="A17" s="270"/>
      <c r="B17" s="271"/>
      <c r="C17" s="271"/>
      <c r="D17" s="271"/>
      <c r="E17" s="272"/>
      <c r="F17" s="273" t="str">
        <f t="shared" ref="F17:F21" si="10">IF(E17="","",N(E17)-N(G17))</f>
        <v/>
      </c>
      <c r="G17" s="271"/>
      <c r="H17" s="274"/>
      <c r="I17" s="275" t="str">
        <f t="shared" si="9"/>
        <v/>
      </c>
      <c r="J17" s="276"/>
    </row>
    <row r="18" ht="27.75" customHeight="1">
      <c r="A18" s="261"/>
      <c r="B18" s="262"/>
      <c r="C18" s="262"/>
      <c r="D18" s="262"/>
      <c r="E18" s="263"/>
      <c r="F18" s="265" t="str">
        <f t="shared" si="10"/>
        <v/>
      </c>
      <c r="G18" s="262"/>
      <c r="H18" s="267"/>
      <c r="I18" s="268" t="str">
        <f t="shared" si="9"/>
        <v/>
      </c>
      <c r="J18" s="269"/>
    </row>
    <row r="19" ht="27.75" customHeight="1">
      <c r="A19" s="270"/>
      <c r="B19" s="271"/>
      <c r="C19" s="271"/>
      <c r="D19" s="271"/>
      <c r="E19" s="272"/>
      <c r="F19" s="273" t="str">
        <f t="shared" si="10"/>
        <v/>
      </c>
      <c r="G19" s="271"/>
      <c r="H19" s="274"/>
      <c r="I19" s="275" t="str">
        <f t="shared" si="9"/>
        <v/>
      </c>
      <c r="J19" s="276"/>
    </row>
    <row r="20" ht="27.75" customHeight="1">
      <c r="A20" s="261"/>
      <c r="B20" s="262"/>
      <c r="C20" s="262"/>
      <c r="D20" s="262"/>
      <c r="E20" s="263"/>
      <c r="F20" s="265" t="str">
        <f t="shared" si="10"/>
        <v/>
      </c>
      <c r="G20" s="262"/>
      <c r="H20" s="267"/>
      <c r="I20" s="268" t="str">
        <f t="shared" si="9"/>
        <v/>
      </c>
      <c r="J20" s="269"/>
    </row>
    <row r="21" ht="27.75" customHeight="1">
      <c r="A21" s="270"/>
      <c r="B21" s="271"/>
      <c r="C21" s="271"/>
      <c r="D21" s="271"/>
      <c r="E21" s="272"/>
      <c r="F21" s="273" t="str">
        <f t="shared" si="10"/>
        <v/>
      </c>
      <c r="G21" s="271"/>
      <c r="H21" s="274"/>
      <c r="I21" s="275" t="str">
        <f t="shared" si="9"/>
        <v/>
      </c>
      <c r="J21" s="276"/>
    </row>
    <row r="22" ht="30.0" customHeight="1">
      <c r="A22" s="306" t="s">
        <v>233</v>
      </c>
      <c r="B22" s="3"/>
      <c r="C22" s="3"/>
      <c r="D22" s="307"/>
      <c r="E22" s="309">
        <f t="shared" ref="E22:I22" si="11">SUM(E5:E21)</f>
        <v>383150.25</v>
      </c>
      <c r="F22" s="309">
        <f t="shared" si="11"/>
        <v>242000</v>
      </c>
      <c r="G22" s="309">
        <f t="shared" si="11"/>
        <v>225150</v>
      </c>
      <c r="H22" s="309">
        <f t="shared" si="11"/>
        <v>77500</v>
      </c>
      <c r="I22" s="309">
        <f t="shared" si="11"/>
        <v>147650</v>
      </c>
      <c r="J22" s="243"/>
    </row>
    <row r="23" ht="27.75" customHeight="1">
      <c r="A23" s="311" t="s">
        <v>237</v>
      </c>
      <c r="B23" s="41"/>
      <c r="C23" s="41"/>
      <c r="D23" s="41"/>
      <c r="E23" s="46"/>
      <c r="F23" s="312" t="str">
        <f>TEXT(F22/30000,"0.0")&amp;" lotes"</f>
        <v>8.1 lotes</v>
      </c>
      <c r="G23" s="313"/>
      <c r="H23" s="313"/>
      <c r="I23" s="313">
        <f>I22/30000</f>
        <v>4.921666667</v>
      </c>
      <c r="J23" s="314">
        <v>9.0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3:C3"/>
    <mergeCell ref="A5:J5"/>
    <mergeCell ref="A9:J9"/>
    <mergeCell ref="A22:D22"/>
    <mergeCell ref="A23:E23"/>
  </mergeCells>
  <conditionalFormatting sqref="I5:I12 I14:I21">
    <cfRule type="cellIs" dxfId="0" priority="1" operator="equal">
      <formula>0</formula>
    </cfRule>
  </conditionalFormatting>
  <conditionalFormatting sqref="I5:I12 I14:I21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6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23.86"/>
    <col customWidth="1" min="2" max="2" width="117.86"/>
    <col customWidth="1" min="3" max="4" width="30.57"/>
    <col customWidth="1" min="5" max="6" width="23.86"/>
    <col customWidth="1" min="7" max="8" width="28.86"/>
  </cols>
  <sheetData>
    <row r="1" ht="46.5" customHeight="1">
      <c r="A1" s="324" t="s">
        <v>257</v>
      </c>
      <c r="B1" s="3"/>
      <c r="C1" s="3"/>
      <c r="D1" s="3"/>
      <c r="E1" s="3"/>
      <c r="F1" s="3"/>
      <c r="G1" s="3"/>
      <c r="H1" s="5"/>
    </row>
    <row r="2" ht="30.0" customHeight="1">
      <c r="A2" s="325" t="s">
        <v>258</v>
      </c>
      <c r="B2" s="3"/>
      <c r="C2" s="3"/>
      <c r="D2" s="3"/>
      <c r="E2" s="3"/>
      <c r="F2" s="3"/>
      <c r="G2" s="3"/>
      <c r="H2" s="5"/>
    </row>
    <row r="3" ht="30.0" customHeight="1">
      <c r="A3" s="14" t="str">
        <f>HYPERLINK("#'Resumen'!A1","◀ Volver al Resumen")</f>
        <v>◀ Volver al Resumen</v>
      </c>
      <c r="B3" s="3"/>
      <c r="C3" s="5"/>
      <c r="D3" s="326" t="str">
        <f>"Ingresos: $"&amp;TEXT(SUM(E5:E101),"#,##0")&amp;"  |  Egresos: $"&amp;TEXT(SUM(F5:F101),"#,##0")&amp;"  |  Saldo: $"&amp;TEXT(SUM(E5:E101)-SUM(F5:F101),"#,##0")</f>
        <v>Ingresos: $91,600  |  Egresos: $77,574  |  Saldo: $14,026</v>
      </c>
    </row>
    <row r="4" ht="46.5" customHeight="1">
      <c r="A4" s="327" t="s">
        <v>259</v>
      </c>
      <c r="B4" s="327" t="s">
        <v>260</v>
      </c>
      <c r="C4" s="327" t="s">
        <v>80</v>
      </c>
      <c r="D4" s="327" t="s">
        <v>261</v>
      </c>
      <c r="E4" s="328" t="s">
        <v>262</v>
      </c>
      <c r="F4" s="329" t="s">
        <v>263</v>
      </c>
    </row>
    <row r="5" ht="27.75" customHeight="1">
      <c r="A5" s="330"/>
      <c r="B5" s="331" t="s">
        <v>264</v>
      </c>
      <c r="C5" s="330" t="s">
        <v>266</v>
      </c>
      <c r="D5" s="331" t="s">
        <v>57</v>
      </c>
      <c r="E5" s="333">
        <v>27160.0</v>
      </c>
      <c r="F5" s="333"/>
    </row>
    <row r="6" ht="27.75" customHeight="1">
      <c r="A6" s="335"/>
      <c r="B6" s="337" t="s">
        <v>269</v>
      </c>
      <c r="C6" s="335" t="s">
        <v>266</v>
      </c>
      <c r="D6" s="337" t="s">
        <v>99</v>
      </c>
      <c r="E6" s="340">
        <v>27160.0</v>
      </c>
      <c r="F6" s="340"/>
    </row>
    <row r="7" ht="27.75" customHeight="1">
      <c r="A7" s="330"/>
      <c r="B7" s="331" t="s">
        <v>270</v>
      </c>
      <c r="C7" s="330" t="s">
        <v>266</v>
      </c>
      <c r="D7" s="331" t="s">
        <v>110</v>
      </c>
      <c r="E7" s="333">
        <v>14000.0</v>
      </c>
      <c r="F7" s="333"/>
    </row>
    <row r="8" ht="27.75" customHeight="1">
      <c r="A8" s="335"/>
      <c r="B8" s="337" t="s">
        <v>271</v>
      </c>
      <c r="C8" s="335" t="s">
        <v>266</v>
      </c>
      <c r="D8" s="337" t="s">
        <v>121</v>
      </c>
      <c r="E8" s="340">
        <v>7760.0</v>
      </c>
      <c r="F8" s="340"/>
    </row>
    <row r="9" ht="27.75" customHeight="1">
      <c r="A9" s="330"/>
      <c r="B9" s="331" t="s">
        <v>273</v>
      </c>
      <c r="C9" s="330" t="s">
        <v>266</v>
      </c>
      <c r="D9" s="331" t="s">
        <v>127</v>
      </c>
      <c r="E9" s="333">
        <v>15520.0</v>
      </c>
      <c r="F9" s="333"/>
    </row>
    <row r="10" ht="27.75" customHeight="1">
      <c r="A10" s="345"/>
      <c r="B10" s="346"/>
      <c r="C10" s="335"/>
      <c r="D10" s="337"/>
      <c r="E10" s="340"/>
      <c r="F10" s="340"/>
    </row>
    <row r="11" ht="27.75" customHeight="1">
      <c r="A11" s="347"/>
      <c r="B11" s="348"/>
      <c r="C11" s="349"/>
      <c r="D11" s="331"/>
      <c r="E11" s="350"/>
      <c r="F11" s="333"/>
    </row>
    <row r="12" ht="27.75" customHeight="1">
      <c r="A12" s="335"/>
      <c r="B12" s="346"/>
      <c r="C12" s="351"/>
      <c r="D12" s="337"/>
      <c r="E12" s="352"/>
      <c r="F12" s="340"/>
    </row>
    <row r="13" ht="27.75" customHeight="1">
      <c r="A13" s="330"/>
      <c r="B13" s="353" t="s">
        <v>274</v>
      </c>
      <c r="C13" s="330"/>
      <c r="D13" s="331"/>
      <c r="E13" s="333"/>
      <c r="F13" s="333"/>
    </row>
    <row r="14" ht="27.75" customHeight="1">
      <c r="A14" s="335"/>
      <c r="B14" s="337" t="s">
        <v>275</v>
      </c>
      <c r="C14" s="335" t="s">
        <v>276</v>
      </c>
      <c r="D14" s="337" t="s">
        <v>277</v>
      </c>
      <c r="E14" s="340"/>
      <c r="F14" s="340">
        <v>5600.0</v>
      </c>
    </row>
    <row r="15" ht="27.75" customHeight="1">
      <c r="A15" s="330"/>
      <c r="B15" s="331" t="s">
        <v>278</v>
      </c>
      <c r="C15" s="330" t="s">
        <v>276</v>
      </c>
      <c r="D15" s="331" t="s">
        <v>279</v>
      </c>
      <c r="E15" s="333"/>
      <c r="F15" s="333">
        <v>2920.0</v>
      </c>
    </row>
    <row r="16" ht="27.75" customHeight="1">
      <c r="A16" s="335"/>
      <c r="B16" s="337" t="s">
        <v>280</v>
      </c>
      <c r="C16" s="335" t="s">
        <v>276</v>
      </c>
      <c r="D16" s="337" t="s">
        <v>281</v>
      </c>
      <c r="E16" s="340"/>
      <c r="F16" s="340">
        <v>2250.0</v>
      </c>
    </row>
    <row r="17" ht="27.75" customHeight="1">
      <c r="A17" s="330"/>
      <c r="B17" s="331" t="s">
        <v>283</v>
      </c>
      <c r="C17" s="330" t="s">
        <v>284</v>
      </c>
      <c r="D17" s="331" t="s">
        <v>286</v>
      </c>
      <c r="E17" s="333"/>
      <c r="F17" s="333">
        <v>1100.0</v>
      </c>
    </row>
    <row r="18" ht="27.75" customHeight="1">
      <c r="A18" s="335"/>
      <c r="B18" s="337" t="s">
        <v>287</v>
      </c>
      <c r="C18" s="335" t="s">
        <v>284</v>
      </c>
      <c r="D18" s="337" t="s">
        <v>288</v>
      </c>
      <c r="E18" s="340"/>
      <c r="F18" s="340">
        <v>1364.0</v>
      </c>
    </row>
    <row r="19" ht="27.75" customHeight="1">
      <c r="A19" s="330"/>
      <c r="B19" s="331" t="s">
        <v>289</v>
      </c>
      <c r="C19" s="330" t="s">
        <v>276</v>
      </c>
      <c r="D19" s="331" t="s">
        <v>290</v>
      </c>
      <c r="E19" s="333"/>
      <c r="F19" s="333">
        <v>345.0</v>
      </c>
    </row>
    <row r="20" ht="27.75" customHeight="1">
      <c r="A20" s="335"/>
      <c r="B20" s="337" t="s">
        <v>291</v>
      </c>
      <c r="C20" s="335" t="s">
        <v>276</v>
      </c>
      <c r="D20" s="337" t="s">
        <v>290</v>
      </c>
      <c r="E20" s="340"/>
      <c r="F20" s="340">
        <v>421.0</v>
      </c>
    </row>
    <row r="21" ht="27.75" customHeight="1">
      <c r="A21" s="330"/>
      <c r="B21" s="331" t="s">
        <v>292</v>
      </c>
      <c r="C21" s="330" t="s">
        <v>276</v>
      </c>
      <c r="D21" s="331" t="s">
        <v>290</v>
      </c>
      <c r="E21" s="333"/>
      <c r="F21" s="333">
        <v>716.0</v>
      </c>
    </row>
    <row r="22" ht="27.75" customHeight="1">
      <c r="A22" s="335"/>
      <c r="B22" s="337" t="s">
        <v>293</v>
      </c>
      <c r="C22" s="335" t="s">
        <v>276</v>
      </c>
      <c r="D22" s="337" t="s">
        <v>290</v>
      </c>
      <c r="E22" s="340"/>
      <c r="F22" s="340">
        <v>563.0</v>
      </c>
    </row>
    <row r="23" ht="27.75" customHeight="1">
      <c r="A23" s="330"/>
      <c r="B23" s="331" t="s">
        <v>294</v>
      </c>
      <c r="C23" s="330" t="s">
        <v>276</v>
      </c>
      <c r="D23" s="331" t="s">
        <v>290</v>
      </c>
      <c r="E23" s="333"/>
      <c r="F23" s="333">
        <v>451.0</v>
      </c>
    </row>
    <row r="24" ht="27.75" customHeight="1">
      <c r="A24" s="335"/>
      <c r="B24" s="337" t="s">
        <v>295</v>
      </c>
      <c r="C24" s="335" t="s">
        <v>276</v>
      </c>
      <c r="D24" s="337" t="s">
        <v>290</v>
      </c>
      <c r="E24" s="340"/>
      <c r="F24" s="340">
        <v>351.0</v>
      </c>
    </row>
    <row r="25" ht="27.75" customHeight="1">
      <c r="A25" s="330"/>
      <c r="B25" s="331" t="s">
        <v>296</v>
      </c>
      <c r="C25" s="330" t="s">
        <v>276</v>
      </c>
      <c r="D25" s="331" t="s">
        <v>290</v>
      </c>
      <c r="E25" s="333"/>
      <c r="F25" s="333">
        <v>268.0</v>
      </c>
    </row>
    <row r="26" ht="27.75" customHeight="1">
      <c r="A26" s="335"/>
      <c r="B26" s="337" t="s">
        <v>297</v>
      </c>
      <c r="C26" s="351" t="s">
        <v>298</v>
      </c>
      <c r="D26" s="337" t="s">
        <v>290</v>
      </c>
      <c r="E26" s="340"/>
      <c r="F26" s="340">
        <v>306.0</v>
      </c>
    </row>
    <row r="27" ht="27.75" customHeight="1">
      <c r="A27" s="330"/>
      <c r="B27" s="331" t="s">
        <v>299</v>
      </c>
      <c r="C27" s="349" t="s">
        <v>298</v>
      </c>
      <c r="D27" s="331" t="s">
        <v>290</v>
      </c>
      <c r="E27" s="333"/>
      <c r="F27" s="333">
        <v>1481.0</v>
      </c>
    </row>
    <row r="28" ht="27.75" customHeight="1">
      <c r="A28" s="335"/>
      <c r="B28" s="337" t="s">
        <v>300</v>
      </c>
      <c r="C28" s="351" t="s">
        <v>298</v>
      </c>
      <c r="D28" s="337" t="s">
        <v>290</v>
      </c>
      <c r="E28" s="340"/>
      <c r="F28" s="340">
        <v>69.0</v>
      </c>
    </row>
    <row r="29" ht="27.75" customHeight="1">
      <c r="A29" s="330"/>
      <c r="B29" s="331" t="s">
        <v>302</v>
      </c>
      <c r="C29" s="349" t="s">
        <v>298</v>
      </c>
      <c r="D29" s="331" t="s">
        <v>290</v>
      </c>
      <c r="E29" s="333"/>
      <c r="F29" s="333">
        <v>102.0</v>
      </c>
    </row>
    <row r="30" ht="27.75" customHeight="1">
      <c r="A30" s="335"/>
      <c r="B30" s="337" t="s">
        <v>303</v>
      </c>
      <c r="C30" s="351" t="s">
        <v>298</v>
      </c>
      <c r="D30" s="337" t="s">
        <v>290</v>
      </c>
      <c r="E30" s="340"/>
      <c r="F30" s="340">
        <v>104.0</v>
      </c>
    </row>
    <row r="31" ht="27.75" customHeight="1">
      <c r="A31" s="330"/>
      <c r="B31" s="331" t="s">
        <v>304</v>
      </c>
      <c r="C31" s="330" t="s">
        <v>298</v>
      </c>
      <c r="D31" s="331" t="s">
        <v>305</v>
      </c>
      <c r="E31" s="333"/>
      <c r="F31" s="333">
        <v>17000.0</v>
      </c>
    </row>
    <row r="32" ht="27.75" customHeight="1">
      <c r="A32" s="335"/>
      <c r="B32" s="337" t="s">
        <v>306</v>
      </c>
      <c r="C32" s="335" t="s">
        <v>284</v>
      </c>
      <c r="D32" s="337" t="s">
        <v>307</v>
      </c>
      <c r="E32" s="340"/>
      <c r="F32" s="340">
        <v>12750.0</v>
      </c>
    </row>
    <row r="33" ht="27.75" customHeight="1">
      <c r="A33" s="330"/>
      <c r="B33" s="331" t="s">
        <v>308</v>
      </c>
      <c r="C33" s="330" t="s">
        <v>284</v>
      </c>
      <c r="D33" s="331" t="s">
        <v>309</v>
      </c>
      <c r="E33" s="333"/>
      <c r="F33" s="350">
        <v>4750.0</v>
      </c>
    </row>
    <row r="34" ht="27.75" customHeight="1">
      <c r="A34" s="335"/>
      <c r="B34" s="337" t="s">
        <v>310</v>
      </c>
      <c r="C34" s="335" t="s">
        <v>298</v>
      </c>
      <c r="D34" s="337" t="s">
        <v>311</v>
      </c>
      <c r="E34" s="340"/>
      <c r="F34" s="378">
        <v>2500.0</v>
      </c>
    </row>
    <row r="35" ht="27.75" customHeight="1">
      <c r="A35" s="330"/>
      <c r="B35" s="331" t="s">
        <v>312</v>
      </c>
      <c r="C35" s="330" t="s">
        <v>284</v>
      </c>
      <c r="D35" s="331" t="s">
        <v>313</v>
      </c>
      <c r="E35" s="333"/>
      <c r="F35" s="333">
        <v>12750.0</v>
      </c>
    </row>
    <row r="36" ht="27.75" customHeight="1">
      <c r="A36" s="335"/>
      <c r="B36" s="337" t="s">
        <v>314</v>
      </c>
      <c r="C36" s="335" t="s">
        <v>284</v>
      </c>
      <c r="D36" s="337" t="s">
        <v>315</v>
      </c>
      <c r="E36" s="340"/>
      <c r="F36" s="340">
        <v>4750.0</v>
      </c>
    </row>
    <row r="37" ht="27.75" customHeight="1">
      <c r="A37" s="330"/>
      <c r="B37" s="331" t="s">
        <v>316</v>
      </c>
      <c r="C37" s="330" t="s">
        <v>298</v>
      </c>
      <c r="D37" s="348" t="s">
        <v>317</v>
      </c>
      <c r="E37" s="333"/>
      <c r="F37" s="379">
        <v>1500.0</v>
      </c>
    </row>
    <row r="38" ht="27.75" customHeight="1">
      <c r="A38" s="380"/>
      <c r="B38" s="337" t="s">
        <v>318</v>
      </c>
      <c r="C38" s="335" t="s">
        <v>284</v>
      </c>
      <c r="D38" s="337" t="s">
        <v>311</v>
      </c>
      <c r="E38" s="381"/>
      <c r="F38" s="382">
        <v>300.0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27.75" customHeight="1">
      <c r="A39" s="383"/>
      <c r="B39" s="384" t="s">
        <v>320</v>
      </c>
      <c r="C39" s="385"/>
      <c r="D39" s="384"/>
      <c r="E39" s="386"/>
      <c r="F39" s="386"/>
      <c r="G39" s="387"/>
      <c r="H39" s="387"/>
      <c r="I39" s="387"/>
      <c r="J39" s="387"/>
      <c r="K39" s="387"/>
      <c r="L39" s="387"/>
      <c r="M39" s="387"/>
      <c r="N39" s="387"/>
      <c r="O39" s="387"/>
      <c r="P39" s="387"/>
      <c r="Q39" s="387"/>
      <c r="R39" s="387"/>
      <c r="S39" s="387"/>
      <c r="T39" s="387"/>
      <c r="U39" s="387"/>
      <c r="V39" s="387"/>
      <c r="W39" s="387"/>
      <c r="X39" s="387"/>
      <c r="Y39" s="387"/>
      <c r="Z39" s="387"/>
    </row>
    <row r="40" ht="27.75" customHeight="1">
      <c r="A40" s="380"/>
      <c r="B40" s="388" t="s">
        <v>321</v>
      </c>
      <c r="C40" s="389" t="s">
        <v>298</v>
      </c>
      <c r="D40" s="337"/>
      <c r="E40" s="381"/>
      <c r="F40" s="378">
        <f>(4063000+180000+18703+4200)/1490</f>
        <v>2863.022148</v>
      </c>
    </row>
    <row r="41" ht="27.75" customHeight="1">
      <c r="A41" s="390"/>
      <c r="B41" s="390"/>
      <c r="C41" s="390"/>
      <c r="D41" s="390"/>
      <c r="E41" s="390"/>
      <c r="F41" s="390"/>
    </row>
    <row r="42" ht="27.75" customHeight="1">
      <c r="A42" s="380"/>
      <c r="B42" s="391"/>
      <c r="C42" s="335"/>
      <c r="D42" s="337"/>
      <c r="E42" s="381"/>
      <c r="F42" s="393"/>
    </row>
    <row r="43" ht="27.75" customHeight="1">
      <c r="A43" s="390"/>
      <c r="B43" s="394" t="s">
        <v>324</v>
      </c>
      <c r="C43" s="330"/>
      <c r="D43" s="331"/>
      <c r="E43" s="395"/>
      <c r="F43" s="395"/>
    </row>
    <row r="44" ht="27.75" customHeight="1">
      <c r="A44" s="380"/>
      <c r="B44" s="391" t="s">
        <v>325</v>
      </c>
      <c r="C44" s="335">
        <f>14162-C45</f>
        <v>8829</v>
      </c>
      <c r="D44" s="337"/>
      <c r="E44" s="381"/>
      <c r="F44" s="381"/>
    </row>
    <row r="45" ht="27.75" customHeight="1">
      <c r="A45" s="390"/>
      <c r="B45" s="394" t="s">
        <v>326</v>
      </c>
      <c r="C45" s="349">
        <v>5333.0</v>
      </c>
      <c r="D45" s="337"/>
      <c r="E45" s="395"/>
      <c r="F45" s="397"/>
    </row>
    <row r="46" ht="27.75" customHeight="1">
      <c r="A46" s="380"/>
      <c r="B46" s="380"/>
      <c r="C46" s="335"/>
      <c r="D46" s="380"/>
      <c r="E46" s="381"/>
      <c r="F46" s="381"/>
    </row>
    <row r="47" ht="27.75" customHeight="1">
      <c r="A47" s="390"/>
      <c r="B47" s="390"/>
      <c r="C47" s="330"/>
      <c r="D47" s="390"/>
      <c r="E47" s="395"/>
      <c r="F47" s="395"/>
    </row>
    <row r="48" ht="27.75" customHeight="1">
      <c r="A48" s="380"/>
      <c r="B48" s="380"/>
      <c r="C48" s="335"/>
      <c r="D48" s="380"/>
      <c r="E48" s="381" t="str">
        <f>Clientes!M12</f>
        <v/>
      </c>
      <c r="F48" s="381"/>
    </row>
    <row r="49" ht="27.75" customHeight="1">
      <c r="A49" s="390"/>
      <c r="B49" s="390"/>
      <c r="C49" s="330"/>
      <c r="D49" s="390"/>
      <c r="E49" s="395"/>
      <c r="F49" s="395"/>
    </row>
    <row r="50" ht="27.75" customHeight="1">
      <c r="A50" s="380"/>
      <c r="B50" s="380"/>
      <c r="C50" s="335"/>
      <c r="D50" s="380"/>
      <c r="E50" s="381"/>
      <c r="F50" s="381"/>
    </row>
    <row r="51" ht="27.75" customHeight="1">
      <c r="A51" s="390"/>
      <c r="B51" s="390"/>
      <c r="C51" s="390"/>
      <c r="D51" s="390"/>
      <c r="E51" s="395"/>
      <c r="F51" s="395"/>
    </row>
    <row r="52" ht="27.75" customHeight="1">
      <c r="A52" s="380"/>
      <c r="B52" s="380"/>
      <c r="C52" s="380"/>
      <c r="D52" s="380"/>
      <c r="E52" s="381"/>
      <c r="F52" s="381"/>
    </row>
    <row r="53" ht="27.75" customHeight="1">
      <c r="A53" s="390"/>
      <c r="B53" s="390"/>
      <c r="C53" s="390"/>
      <c r="D53" s="390"/>
      <c r="E53" s="395"/>
      <c r="F53" s="395"/>
    </row>
    <row r="54" ht="27.75" customHeight="1">
      <c r="A54" s="330"/>
      <c r="B54" s="331"/>
      <c r="C54" s="330"/>
      <c r="D54" s="331"/>
      <c r="E54" s="333"/>
      <c r="F54" s="333"/>
    </row>
    <row r="55" ht="27.75" customHeight="1">
      <c r="A55" s="335"/>
      <c r="B55" s="337"/>
      <c r="C55" s="335"/>
      <c r="D55" s="337"/>
      <c r="E55" s="340"/>
      <c r="F55" s="340"/>
    </row>
    <row r="56" ht="27.75" customHeight="1">
      <c r="A56" s="330"/>
      <c r="B56" s="331"/>
      <c r="C56" s="330"/>
      <c r="D56" s="331"/>
      <c r="E56" s="333"/>
      <c r="F56" s="333"/>
    </row>
    <row r="57" ht="27.75" customHeight="1">
      <c r="A57" s="335"/>
      <c r="B57" s="337"/>
      <c r="C57" s="335"/>
      <c r="D57" s="337"/>
      <c r="E57" s="340"/>
      <c r="F57" s="340"/>
    </row>
    <row r="58" ht="27.75" customHeight="1">
      <c r="A58" s="330"/>
      <c r="B58" s="331"/>
      <c r="C58" s="330"/>
      <c r="D58" s="331"/>
      <c r="E58" s="333"/>
      <c r="F58" s="333"/>
    </row>
    <row r="59" ht="27.75" customHeight="1">
      <c r="A59" s="335"/>
      <c r="B59" s="337"/>
      <c r="C59" s="335"/>
      <c r="D59" s="337"/>
      <c r="E59" s="340"/>
      <c r="F59" s="340"/>
    </row>
    <row r="60" ht="27.75" customHeight="1">
      <c r="A60" s="330"/>
      <c r="B60" s="331"/>
      <c r="C60" s="330"/>
      <c r="D60" s="331"/>
      <c r="E60" s="333"/>
      <c r="F60" s="333"/>
    </row>
    <row r="61" ht="27.75" customHeight="1">
      <c r="A61" s="335"/>
      <c r="B61" s="337"/>
      <c r="C61" s="335"/>
      <c r="D61" s="337"/>
      <c r="E61" s="340"/>
      <c r="F61" s="340"/>
    </row>
    <row r="62" ht="27.75" customHeight="1">
      <c r="A62" s="330"/>
      <c r="B62" s="331"/>
      <c r="C62" s="330"/>
      <c r="D62" s="331"/>
      <c r="E62" s="333"/>
      <c r="F62" s="333"/>
    </row>
    <row r="63" ht="27.75" customHeight="1">
      <c r="A63" s="335"/>
      <c r="B63" s="337"/>
      <c r="C63" s="335"/>
      <c r="D63" s="337"/>
      <c r="E63" s="340"/>
      <c r="F63" s="340"/>
    </row>
    <row r="64" ht="27.75" customHeight="1">
      <c r="A64" s="330"/>
      <c r="B64" s="331"/>
      <c r="C64" s="330"/>
      <c r="D64" s="331"/>
      <c r="E64" s="333"/>
      <c r="F64" s="333"/>
    </row>
    <row r="65" ht="27.75" customHeight="1">
      <c r="A65" s="335"/>
      <c r="B65" s="337"/>
      <c r="C65" s="335"/>
      <c r="D65" s="337"/>
      <c r="E65" s="340"/>
      <c r="F65" s="340"/>
    </row>
    <row r="66" ht="27.75" customHeight="1">
      <c r="A66" s="330"/>
      <c r="B66" s="331"/>
      <c r="C66" s="330"/>
      <c r="D66" s="331"/>
      <c r="E66" s="333"/>
      <c r="F66" s="333"/>
    </row>
    <row r="67" ht="27.75" customHeight="1">
      <c r="A67" s="335"/>
      <c r="B67" s="337"/>
      <c r="C67" s="335"/>
      <c r="D67" s="337"/>
      <c r="E67" s="340"/>
      <c r="F67" s="340"/>
    </row>
    <row r="68" ht="27.75" customHeight="1">
      <c r="A68" s="330"/>
      <c r="B68" s="331"/>
      <c r="C68" s="330"/>
      <c r="D68" s="331"/>
      <c r="E68" s="333"/>
      <c r="F68" s="333"/>
    </row>
    <row r="69" ht="27.75" customHeight="1">
      <c r="A69" s="335"/>
      <c r="B69" s="337"/>
      <c r="C69" s="335"/>
      <c r="D69" s="337"/>
      <c r="E69" s="340"/>
      <c r="F69" s="340"/>
    </row>
    <row r="70" ht="27.75" customHeight="1">
      <c r="A70" s="330"/>
      <c r="B70" s="331"/>
      <c r="C70" s="330"/>
      <c r="D70" s="331"/>
      <c r="E70" s="333"/>
      <c r="F70" s="333"/>
    </row>
    <row r="71" ht="27.75" customHeight="1">
      <c r="A71" s="335"/>
      <c r="B71" s="337"/>
      <c r="C71" s="335"/>
      <c r="D71" s="337"/>
      <c r="E71" s="340"/>
      <c r="F71" s="340"/>
    </row>
    <row r="72" ht="27.75" customHeight="1">
      <c r="A72" s="330"/>
      <c r="B72" s="331"/>
      <c r="C72" s="330"/>
      <c r="D72" s="331"/>
      <c r="E72" s="333"/>
      <c r="F72" s="333"/>
    </row>
    <row r="73" ht="27.75" customHeight="1">
      <c r="A73" s="335"/>
      <c r="B73" s="337"/>
      <c r="C73" s="335"/>
      <c r="D73" s="337"/>
      <c r="E73" s="340"/>
      <c r="F73" s="340"/>
    </row>
    <row r="74" ht="27.75" customHeight="1">
      <c r="A74" s="330"/>
      <c r="B74" s="331"/>
      <c r="C74" s="330"/>
      <c r="D74" s="331"/>
      <c r="E74" s="333"/>
      <c r="F74" s="333"/>
    </row>
    <row r="75" ht="27.75" customHeight="1">
      <c r="A75" s="335"/>
      <c r="B75" s="337"/>
      <c r="C75" s="335"/>
      <c r="D75" s="337"/>
      <c r="E75" s="340"/>
      <c r="F75" s="340"/>
    </row>
    <row r="76" ht="27.75" customHeight="1">
      <c r="A76" s="330"/>
      <c r="B76" s="331"/>
      <c r="C76" s="330"/>
      <c r="D76" s="331"/>
      <c r="E76" s="333"/>
      <c r="F76" s="333"/>
    </row>
    <row r="77" ht="27.75" customHeight="1">
      <c r="A77" s="335"/>
      <c r="B77" s="337"/>
      <c r="C77" s="335"/>
      <c r="D77" s="337"/>
      <c r="E77" s="340"/>
      <c r="F77" s="340"/>
    </row>
    <row r="78" ht="27.75" customHeight="1">
      <c r="A78" s="330"/>
      <c r="B78" s="331"/>
      <c r="C78" s="330"/>
      <c r="D78" s="331"/>
      <c r="E78" s="333"/>
      <c r="F78" s="333"/>
    </row>
    <row r="79" ht="27.75" customHeight="1">
      <c r="A79" s="335"/>
      <c r="B79" s="337"/>
      <c r="C79" s="335"/>
      <c r="D79" s="337"/>
      <c r="E79" s="340"/>
      <c r="F79" s="340"/>
    </row>
    <row r="80" ht="27.75" customHeight="1">
      <c r="A80" s="330"/>
      <c r="B80" s="331"/>
      <c r="C80" s="330"/>
      <c r="D80" s="331"/>
      <c r="E80" s="333"/>
      <c r="F80" s="333"/>
    </row>
    <row r="81" ht="27.75" customHeight="1">
      <c r="A81" s="335"/>
      <c r="B81" s="337"/>
      <c r="C81" s="335"/>
      <c r="D81" s="337"/>
      <c r="E81" s="340"/>
      <c r="F81" s="340"/>
    </row>
    <row r="82" ht="27.75" customHeight="1">
      <c r="A82" s="330"/>
      <c r="B82" s="331"/>
      <c r="C82" s="330"/>
      <c r="D82" s="331"/>
      <c r="E82" s="333"/>
      <c r="F82" s="333"/>
    </row>
    <row r="83" ht="27.75" customHeight="1">
      <c r="A83" s="335"/>
      <c r="B83" s="337"/>
      <c r="C83" s="335"/>
      <c r="D83" s="337"/>
      <c r="E83" s="340"/>
      <c r="F83" s="340"/>
    </row>
    <row r="84" ht="27.75" customHeight="1">
      <c r="A84" s="330"/>
      <c r="B84" s="331"/>
      <c r="C84" s="330"/>
      <c r="D84" s="331"/>
      <c r="E84" s="333"/>
      <c r="F84" s="333"/>
    </row>
    <row r="85" ht="27.75" customHeight="1">
      <c r="A85" s="335"/>
      <c r="B85" s="337"/>
      <c r="C85" s="335"/>
      <c r="D85" s="337"/>
      <c r="E85" s="340"/>
      <c r="F85" s="340"/>
    </row>
    <row r="86" ht="27.75" customHeight="1">
      <c r="A86" s="330"/>
      <c r="B86" s="331"/>
      <c r="C86" s="330"/>
      <c r="D86" s="331"/>
      <c r="E86" s="333"/>
      <c r="F86" s="333"/>
    </row>
    <row r="87" ht="27.75" customHeight="1">
      <c r="A87" s="335"/>
      <c r="B87" s="337"/>
      <c r="C87" s="335"/>
      <c r="D87" s="337"/>
      <c r="E87" s="340"/>
      <c r="F87" s="340"/>
    </row>
    <row r="88" ht="27.75" customHeight="1">
      <c r="A88" s="330"/>
      <c r="B88" s="331"/>
      <c r="C88" s="330"/>
      <c r="D88" s="331"/>
      <c r="E88" s="333"/>
      <c r="F88" s="333"/>
    </row>
    <row r="89" ht="27.75" customHeight="1">
      <c r="A89" s="335"/>
      <c r="B89" s="337"/>
      <c r="C89" s="335"/>
      <c r="D89" s="337"/>
      <c r="E89" s="340"/>
      <c r="F89" s="340"/>
    </row>
    <row r="90" ht="27.75" customHeight="1">
      <c r="A90" s="330"/>
      <c r="B90" s="331"/>
      <c r="C90" s="330"/>
      <c r="D90" s="331"/>
      <c r="E90" s="333"/>
      <c r="F90" s="333"/>
    </row>
    <row r="91" ht="27.75" customHeight="1">
      <c r="A91" s="335"/>
      <c r="B91" s="337"/>
      <c r="C91" s="335"/>
      <c r="D91" s="337"/>
      <c r="E91" s="340"/>
      <c r="F91" s="340"/>
    </row>
    <row r="92" ht="27.75" customHeight="1">
      <c r="A92" s="330"/>
      <c r="B92" s="331"/>
      <c r="C92" s="330"/>
      <c r="D92" s="331"/>
      <c r="E92" s="333"/>
      <c r="F92" s="333"/>
    </row>
    <row r="93" ht="27.75" customHeight="1">
      <c r="A93" s="335"/>
      <c r="B93" s="337"/>
      <c r="C93" s="335"/>
      <c r="D93" s="337"/>
      <c r="E93" s="340"/>
      <c r="F93" s="340"/>
    </row>
    <row r="94" ht="27.75" customHeight="1">
      <c r="A94" s="330"/>
      <c r="B94" s="331"/>
      <c r="C94" s="330"/>
      <c r="D94" s="331"/>
      <c r="E94" s="333"/>
      <c r="F94" s="333"/>
    </row>
    <row r="95" ht="27.75" customHeight="1">
      <c r="A95" s="335"/>
      <c r="B95" s="337"/>
      <c r="C95" s="335"/>
      <c r="D95" s="337"/>
      <c r="E95" s="340"/>
      <c r="F95" s="340"/>
    </row>
    <row r="96" ht="27.75" customHeight="1">
      <c r="A96" s="330"/>
      <c r="B96" s="331"/>
      <c r="C96" s="330"/>
      <c r="D96" s="331"/>
      <c r="E96" s="333"/>
      <c r="F96" s="333"/>
    </row>
    <row r="97" ht="27.75" customHeight="1">
      <c r="A97" s="335"/>
      <c r="B97" s="337"/>
      <c r="C97" s="335"/>
      <c r="D97" s="337"/>
      <c r="E97" s="340"/>
      <c r="F97" s="340"/>
    </row>
    <row r="98" ht="27.75" customHeight="1">
      <c r="A98" s="330"/>
      <c r="B98" s="331"/>
      <c r="C98" s="330"/>
      <c r="D98" s="331"/>
      <c r="E98" s="333"/>
      <c r="F98" s="333"/>
    </row>
    <row r="99" ht="27.75" customHeight="1">
      <c r="A99" s="335"/>
      <c r="B99" s="337"/>
      <c r="C99" s="335"/>
      <c r="D99" s="337"/>
      <c r="E99" s="340"/>
      <c r="F99" s="340"/>
    </row>
    <row r="100" ht="27.75" customHeight="1">
      <c r="A100" s="330"/>
      <c r="B100" s="331"/>
      <c r="C100" s="330"/>
      <c r="D100" s="331"/>
      <c r="E100" s="333"/>
      <c r="F100" s="333"/>
    </row>
    <row r="101" ht="27.75" customHeight="1">
      <c r="A101" s="335"/>
      <c r="B101" s="337"/>
      <c r="C101" s="335"/>
      <c r="D101" s="337"/>
      <c r="E101" s="340"/>
      <c r="F101" s="340"/>
    </row>
    <row r="102" ht="36.75" customHeight="1">
      <c r="A102" s="241" t="s">
        <v>333</v>
      </c>
      <c r="B102" s="41"/>
      <c r="C102" s="41"/>
      <c r="D102" s="46"/>
      <c r="E102" s="412">
        <f t="shared" ref="E102:F102" si="1">SUM(E5:E101)</f>
        <v>91600</v>
      </c>
      <c r="F102" s="412">
        <f t="shared" si="1"/>
        <v>77574.02215</v>
      </c>
    </row>
    <row r="103" ht="27.75" customHeight="1">
      <c r="A103" s="413"/>
      <c r="B103" s="413"/>
      <c r="C103" s="413"/>
      <c r="D103" s="413"/>
      <c r="E103" s="413"/>
      <c r="F103" s="413"/>
    </row>
    <row r="104" ht="27.75" customHeight="1">
      <c r="A104" s="413"/>
      <c r="B104" s="413"/>
      <c r="C104" s="413"/>
      <c r="D104" s="413"/>
      <c r="E104" s="413"/>
      <c r="F104" s="413"/>
    </row>
    <row r="105" ht="27.75" customHeight="1">
      <c r="A105" s="413"/>
      <c r="B105" s="413"/>
      <c r="C105" s="413"/>
      <c r="D105" s="413"/>
      <c r="E105" s="413"/>
      <c r="F105" s="413"/>
    </row>
    <row r="106" ht="27.75" customHeight="1">
      <c r="A106" s="413"/>
      <c r="B106" s="413"/>
      <c r="C106" s="413"/>
      <c r="D106" s="413"/>
      <c r="E106" s="413"/>
      <c r="F106" s="413"/>
    </row>
    <row r="107" ht="27.75" customHeight="1">
      <c r="A107" s="413"/>
      <c r="B107" s="413"/>
      <c r="C107" s="413"/>
      <c r="D107" s="413"/>
      <c r="E107" s="413"/>
      <c r="F107" s="413"/>
    </row>
    <row r="108" ht="27.75" customHeight="1">
      <c r="A108" s="413"/>
      <c r="B108" s="413"/>
      <c r="C108" s="413"/>
      <c r="D108" s="413"/>
      <c r="E108" s="413"/>
      <c r="F108" s="413"/>
    </row>
    <row r="109" ht="27.75" customHeight="1">
      <c r="A109" s="413"/>
      <c r="B109" s="413"/>
      <c r="C109" s="413"/>
      <c r="D109" s="413"/>
      <c r="E109" s="413"/>
      <c r="F109" s="413"/>
    </row>
    <row r="110" ht="27.75" customHeight="1">
      <c r="A110" s="413"/>
      <c r="B110" s="413"/>
      <c r="C110" s="413"/>
      <c r="D110" s="413"/>
      <c r="E110" s="413"/>
      <c r="F110" s="413"/>
    </row>
    <row r="111" ht="15.75" customHeight="1">
      <c r="A111" s="413"/>
      <c r="B111" s="413"/>
      <c r="C111" s="413"/>
      <c r="D111" s="413"/>
      <c r="E111" s="413"/>
      <c r="F111" s="413"/>
    </row>
    <row r="112" ht="15.75" customHeight="1">
      <c r="A112" s="413"/>
      <c r="B112" s="413"/>
      <c r="C112" s="413"/>
      <c r="D112" s="413"/>
      <c r="E112" s="413"/>
      <c r="F112" s="413"/>
    </row>
    <row r="113" ht="15.75" customHeight="1">
      <c r="A113" s="413"/>
      <c r="B113" s="413"/>
      <c r="C113" s="413"/>
      <c r="D113" s="413"/>
      <c r="E113" s="413"/>
      <c r="F113" s="413"/>
    </row>
    <row r="114" ht="15.75" customHeight="1">
      <c r="A114" s="413"/>
      <c r="B114" s="413"/>
      <c r="C114" s="413"/>
      <c r="D114" s="413"/>
      <c r="E114" s="413"/>
      <c r="F114" s="413"/>
    </row>
    <row r="115" ht="15.75" customHeight="1">
      <c r="A115" s="413"/>
      <c r="B115" s="413"/>
      <c r="C115" s="413"/>
      <c r="D115" s="413"/>
      <c r="E115" s="413"/>
      <c r="F115" s="413"/>
    </row>
    <row r="116" ht="15.75" customHeight="1">
      <c r="A116" s="413"/>
      <c r="B116" s="413"/>
      <c r="C116" s="413"/>
      <c r="D116" s="413"/>
      <c r="E116" s="413"/>
      <c r="F116" s="413"/>
    </row>
    <row r="117" ht="15.75" customHeight="1">
      <c r="A117" s="413"/>
      <c r="B117" s="413"/>
      <c r="C117" s="413"/>
      <c r="D117" s="413"/>
      <c r="E117" s="413"/>
      <c r="F117" s="413"/>
    </row>
    <row r="118" ht="15.75" customHeight="1">
      <c r="A118" s="413"/>
      <c r="B118" s="413"/>
      <c r="C118" s="413"/>
      <c r="D118" s="413"/>
      <c r="E118" s="413"/>
      <c r="F118" s="413"/>
    </row>
    <row r="119" ht="15.75" customHeight="1">
      <c r="A119" s="413"/>
      <c r="B119" s="413"/>
      <c r="C119" s="413"/>
      <c r="D119" s="413"/>
      <c r="E119" s="413"/>
      <c r="F119" s="413"/>
    </row>
    <row r="120" ht="15.75" customHeight="1">
      <c r="A120" s="413"/>
      <c r="B120" s="413"/>
      <c r="C120" s="413"/>
      <c r="D120" s="413"/>
      <c r="E120" s="413"/>
      <c r="F120" s="413"/>
    </row>
    <row r="121" ht="15.75" customHeight="1">
      <c r="A121" s="413"/>
      <c r="B121" s="413"/>
      <c r="C121" s="413"/>
      <c r="D121" s="413"/>
      <c r="E121" s="413"/>
      <c r="F121" s="413"/>
    </row>
    <row r="122" ht="15.75" customHeight="1">
      <c r="A122" s="413"/>
      <c r="B122" s="413"/>
      <c r="C122" s="413"/>
      <c r="D122" s="413"/>
      <c r="E122" s="413"/>
      <c r="F122" s="413"/>
    </row>
    <row r="123" ht="15.75" customHeight="1">
      <c r="A123" s="413"/>
      <c r="B123" s="413"/>
      <c r="C123" s="413"/>
      <c r="D123" s="413"/>
      <c r="E123" s="413"/>
      <c r="F123" s="413"/>
    </row>
    <row r="124" ht="15.75" customHeight="1">
      <c r="A124" s="413"/>
      <c r="B124" s="413"/>
      <c r="C124" s="413"/>
      <c r="D124" s="413"/>
      <c r="E124" s="413"/>
      <c r="F124" s="413"/>
    </row>
    <row r="125" ht="15.75" customHeight="1">
      <c r="A125" s="413"/>
      <c r="B125" s="413"/>
      <c r="C125" s="413"/>
      <c r="D125" s="413"/>
      <c r="E125" s="413"/>
      <c r="F125" s="413"/>
    </row>
    <row r="126" ht="15.75" customHeight="1">
      <c r="A126" s="413"/>
      <c r="B126" s="413"/>
      <c r="C126" s="413"/>
      <c r="D126" s="413"/>
      <c r="E126" s="413"/>
      <c r="F126" s="413"/>
    </row>
    <row r="127" ht="15.75" customHeight="1">
      <c r="A127" s="413"/>
      <c r="B127" s="413"/>
      <c r="C127" s="413"/>
      <c r="D127" s="413"/>
      <c r="E127" s="413"/>
      <c r="F127" s="413"/>
    </row>
    <row r="128" ht="15.75" customHeight="1">
      <c r="A128" s="413"/>
      <c r="B128" s="413"/>
      <c r="C128" s="413"/>
      <c r="D128" s="413"/>
      <c r="E128" s="413"/>
      <c r="F128" s="413"/>
    </row>
    <row r="129" ht="15.75" customHeight="1">
      <c r="A129" s="413"/>
      <c r="B129" s="413"/>
      <c r="C129" s="413"/>
      <c r="D129" s="413"/>
      <c r="E129" s="413"/>
      <c r="F129" s="413"/>
    </row>
    <row r="130" ht="15.75" customHeight="1">
      <c r="A130" s="413"/>
      <c r="B130" s="413"/>
      <c r="C130" s="413"/>
      <c r="D130" s="413"/>
      <c r="E130" s="413"/>
      <c r="F130" s="413"/>
    </row>
    <row r="131" ht="15.75" customHeight="1">
      <c r="A131" s="413"/>
      <c r="B131" s="413"/>
      <c r="C131" s="413"/>
      <c r="D131" s="413"/>
      <c r="E131" s="413"/>
      <c r="F131" s="413"/>
    </row>
    <row r="132" ht="15.75" customHeight="1">
      <c r="A132" s="413"/>
      <c r="B132" s="413"/>
      <c r="C132" s="413"/>
      <c r="D132" s="413"/>
      <c r="E132" s="413"/>
      <c r="F132" s="413"/>
    </row>
    <row r="133" ht="15.75" customHeight="1">
      <c r="A133" s="413"/>
      <c r="B133" s="413"/>
      <c r="C133" s="413"/>
      <c r="D133" s="413"/>
      <c r="E133" s="413"/>
      <c r="F133" s="413"/>
    </row>
    <row r="134" ht="15.75" customHeight="1">
      <c r="A134" s="413"/>
      <c r="B134" s="413"/>
      <c r="C134" s="413"/>
      <c r="D134" s="413"/>
      <c r="E134" s="413"/>
      <c r="F134" s="413"/>
    </row>
    <row r="135" ht="15.75" customHeight="1">
      <c r="A135" s="413"/>
      <c r="B135" s="413"/>
      <c r="C135" s="413"/>
      <c r="D135" s="413"/>
      <c r="E135" s="413"/>
      <c r="F135" s="413"/>
    </row>
    <row r="136" ht="15.75" customHeight="1">
      <c r="A136" s="413"/>
      <c r="B136" s="413"/>
      <c r="C136" s="413"/>
      <c r="D136" s="413"/>
      <c r="E136" s="413"/>
      <c r="F136" s="413"/>
    </row>
    <row r="137" ht="15.75" customHeight="1">
      <c r="A137" s="413"/>
      <c r="B137" s="413"/>
      <c r="C137" s="413"/>
      <c r="D137" s="413"/>
      <c r="E137" s="413"/>
      <c r="F137" s="413"/>
    </row>
    <row r="138" ht="15.75" customHeight="1">
      <c r="A138" s="413"/>
      <c r="B138" s="413"/>
      <c r="C138" s="413"/>
      <c r="D138" s="413"/>
      <c r="E138" s="413"/>
      <c r="F138" s="413"/>
    </row>
    <row r="139" ht="15.75" customHeight="1">
      <c r="A139" s="413"/>
      <c r="B139" s="413"/>
      <c r="C139" s="413"/>
      <c r="D139" s="413"/>
      <c r="E139" s="413"/>
      <c r="F139" s="413"/>
    </row>
    <row r="140" ht="15.75" customHeight="1">
      <c r="A140" s="413"/>
      <c r="B140" s="413"/>
      <c r="C140" s="413"/>
      <c r="D140" s="413"/>
      <c r="E140" s="413"/>
      <c r="F140" s="413"/>
    </row>
    <row r="141" ht="15.75" customHeight="1">
      <c r="A141" s="413"/>
      <c r="B141" s="413"/>
      <c r="C141" s="413"/>
      <c r="D141" s="413"/>
      <c r="E141" s="413"/>
      <c r="F141" s="413"/>
    </row>
    <row r="142" ht="15.75" customHeight="1">
      <c r="A142" s="413"/>
      <c r="B142" s="413"/>
      <c r="C142" s="413"/>
      <c r="D142" s="413"/>
      <c r="E142" s="413"/>
      <c r="F142" s="413"/>
    </row>
    <row r="143" ht="15.75" customHeight="1">
      <c r="A143" s="413"/>
      <c r="B143" s="413"/>
      <c r="C143" s="413"/>
      <c r="D143" s="413"/>
      <c r="E143" s="413"/>
      <c r="F143" s="413"/>
    </row>
    <row r="144" ht="15.75" customHeight="1">
      <c r="A144" s="413"/>
      <c r="B144" s="413"/>
      <c r="C144" s="413"/>
      <c r="D144" s="413"/>
      <c r="E144" s="413"/>
      <c r="F144" s="413"/>
    </row>
    <row r="145" ht="15.75" customHeight="1">
      <c r="A145" s="413"/>
      <c r="B145" s="413"/>
      <c r="C145" s="413"/>
      <c r="D145" s="413"/>
      <c r="E145" s="413"/>
      <c r="F145" s="413"/>
    </row>
    <row r="146" ht="15.75" customHeight="1">
      <c r="A146" s="413"/>
      <c r="B146" s="413"/>
      <c r="C146" s="413"/>
      <c r="D146" s="413"/>
      <c r="E146" s="413"/>
      <c r="F146" s="413"/>
    </row>
    <row r="147" ht="15.75" customHeight="1">
      <c r="A147" s="413"/>
      <c r="B147" s="413"/>
      <c r="C147" s="413"/>
      <c r="D147" s="413"/>
      <c r="E147" s="413"/>
      <c r="F147" s="413"/>
    </row>
    <row r="148" ht="15.75" customHeight="1">
      <c r="A148" s="413"/>
      <c r="B148" s="413"/>
      <c r="C148" s="413"/>
      <c r="D148" s="413"/>
      <c r="E148" s="413"/>
      <c r="F148" s="413"/>
    </row>
    <row r="149" ht="15.75" customHeight="1">
      <c r="A149" s="413"/>
      <c r="B149" s="413"/>
      <c r="C149" s="413"/>
      <c r="D149" s="413"/>
      <c r="E149" s="413"/>
      <c r="F149" s="413"/>
    </row>
    <row r="150" ht="15.75" customHeight="1">
      <c r="A150" s="413"/>
      <c r="B150" s="413"/>
      <c r="C150" s="413"/>
      <c r="D150" s="413"/>
      <c r="E150" s="413"/>
      <c r="F150" s="413"/>
    </row>
    <row r="151" ht="15.75" customHeight="1">
      <c r="A151" s="413"/>
      <c r="B151" s="413"/>
      <c r="C151" s="413"/>
      <c r="D151" s="413"/>
      <c r="E151" s="413"/>
      <c r="F151" s="413"/>
    </row>
    <row r="152" ht="15.75" customHeight="1">
      <c r="A152" s="413"/>
      <c r="B152" s="413"/>
      <c r="C152" s="413"/>
      <c r="D152" s="413"/>
      <c r="E152" s="413"/>
      <c r="F152" s="413"/>
    </row>
    <row r="153" ht="15.75" customHeight="1">
      <c r="A153" s="413"/>
      <c r="B153" s="413"/>
      <c r="C153" s="413"/>
      <c r="D153" s="413"/>
      <c r="E153" s="413"/>
      <c r="F153" s="413"/>
    </row>
    <row r="154" ht="15.75" customHeight="1">
      <c r="A154" s="413"/>
      <c r="B154" s="413"/>
      <c r="C154" s="413"/>
      <c r="D154" s="413"/>
      <c r="E154" s="413"/>
      <c r="F154" s="413"/>
    </row>
    <row r="155" ht="15.75" customHeight="1">
      <c r="A155" s="413"/>
      <c r="B155" s="413"/>
      <c r="C155" s="413"/>
      <c r="D155" s="413"/>
      <c r="E155" s="413"/>
      <c r="F155" s="413"/>
    </row>
    <row r="156" ht="15.75" customHeight="1">
      <c r="A156" s="413"/>
      <c r="B156" s="413"/>
      <c r="C156" s="413"/>
      <c r="D156" s="413"/>
      <c r="E156" s="413"/>
      <c r="F156" s="413"/>
    </row>
    <row r="157" ht="15.75" customHeight="1">
      <c r="A157" s="413"/>
      <c r="B157" s="413"/>
      <c r="C157" s="413"/>
      <c r="D157" s="413"/>
      <c r="E157" s="413"/>
      <c r="F157" s="413"/>
    </row>
    <row r="158" ht="15.75" customHeight="1">
      <c r="A158" s="413"/>
      <c r="B158" s="413"/>
      <c r="C158" s="413"/>
      <c r="D158" s="413"/>
      <c r="E158" s="413"/>
      <c r="F158" s="413"/>
    </row>
    <row r="159" ht="15.75" customHeight="1">
      <c r="A159" s="413"/>
      <c r="B159" s="413"/>
      <c r="C159" s="413"/>
      <c r="D159" s="413"/>
      <c r="E159" s="413"/>
      <c r="F159" s="413"/>
    </row>
    <row r="160" ht="15.75" customHeight="1">
      <c r="A160" s="413"/>
      <c r="B160" s="413"/>
      <c r="C160" s="413"/>
      <c r="D160" s="413"/>
      <c r="E160" s="413"/>
      <c r="F160" s="413"/>
    </row>
    <row r="161" ht="15.75" customHeight="1">
      <c r="A161" s="413"/>
      <c r="B161" s="413"/>
      <c r="C161" s="413"/>
      <c r="D161" s="413"/>
      <c r="E161" s="413"/>
      <c r="F161" s="413"/>
    </row>
    <row r="162" ht="15.75" customHeight="1">
      <c r="A162" s="413"/>
      <c r="B162" s="413"/>
      <c r="C162" s="413"/>
      <c r="D162" s="413"/>
      <c r="E162" s="413"/>
      <c r="F162" s="413"/>
    </row>
    <row r="163" ht="15.75" customHeight="1">
      <c r="A163" s="413"/>
      <c r="B163" s="413"/>
      <c r="C163" s="413"/>
      <c r="D163" s="413"/>
      <c r="E163" s="413"/>
      <c r="F163" s="413"/>
    </row>
    <row r="164" ht="15.75" customHeight="1">
      <c r="A164" s="413"/>
      <c r="B164" s="413"/>
      <c r="C164" s="413"/>
      <c r="D164" s="413"/>
      <c r="E164" s="413"/>
      <c r="F164" s="413"/>
    </row>
    <row r="165" ht="15.75" customHeight="1">
      <c r="A165" s="413"/>
      <c r="B165" s="413"/>
      <c r="C165" s="413"/>
      <c r="D165" s="413"/>
      <c r="E165" s="413"/>
      <c r="F165" s="413"/>
    </row>
    <row r="166" ht="15.75" customHeight="1">
      <c r="A166" s="413"/>
      <c r="B166" s="413"/>
      <c r="C166" s="413"/>
      <c r="D166" s="413"/>
      <c r="E166" s="413"/>
      <c r="F166" s="413"/>
    </row>
    <row r="167" ht="15.75" customHeight="1">
      <c r="A167" s="413"/>
      <c r="B167" s="413"/>
      <c r="C167" s="413"/>
      <c r="D167" s="413"/>
      <c r="E167" s="413"/>
      <c r="F167" s="413"/>
    </row>
    <row r="168" ht="15.75" customHeight="1">
      <c r="A168" s="413"/>
      <c r="B168" s="413"/>
      <c r="C168" s="413"/>
      <c r="D168" s="413"/>
      <c r="E168" s="413"/>
      <c r="F168" s="413"/>
    </row>
    <row r="169" ht="15.75" customHeight="1">
      <c r="A169" s="413"/>
      <c r="B169" s="413"/>
      <c r="C169" s="413"/>
      <c r="D169" s="413"/>
      <c r="E169" s="413"/>
      <c r="F169" s="413"/>
    </row>
    <row r="170" ht="15.75" customHeight="1">
      <c r="A170" s="413"/>
      <c r="B170" s="413"/>
      <c r="C170" s="413"/>
      <c r="D170" s="413"/>
      <c r="E170" s="413"/>
      <c r="F170" s="413"/>
    </row>
    <row r="171" ht="15.75" customHeight="1">
      <c r="A171" s="413"/>
      <c r="B171" s="413"/>
      <c r="C171" s="413"/>
      <c r="D171" s="413"/>
      <c r="E171" s="413"/>
      <c r="F171" s="413"/>
    </row>
    <row r="172" ht="15.75" customHeight="1">
      <c r="A172" s="413"/>
      <c r="B172" s="413"/>
      <c r="C172" s="413"/>
      <c r="D172" s="413"/>
      <c r="E172" s="413"/>
      <c r="F172" s="413"/>
    </row>
    <row r="173" ht="15.75" customHeight="1">
      <c r="A173" s="413"/>
      <c r="B173" s="413"/>
      <c r="C173" s="413"/>
      <c r="D173" s="413"/>
      <c r="E173" s="413"/>
      <c r="F173" s="413"/>
    </row>
    <row r="174" ht="15.75" customHeight="1">
      <c r="A174" s="413"/>
      <c r="B174" s="413"/>
      <c r="C174" s="413"/>
      <c r="D174" s="413"/>
      <c r="E174" s="413"/>
      <c r="F174" s="413"/>
    </row>
    <row r="175" ht="15.75" customHeight="1">
      <c r="A175" s="413"/>
      <c r="B175" s="413"/>
      <c r="C175" s="413"/>
      <c r="D175" s="413"/>
      <c r="E175" s="413"/>
      <c r="F175" s="413"/>
    </row>
    <row r="176" ht="15.75" customHeight="1">
      <c r="A176" s="413"/>
      <c r="B176" s="413"/>
      <c r="C176" s="413"/>
      <c r="D176" s="413"/>
      <c r="E176" s="413"/>
      <c r="F176" s="413"/>
    </row>
    <row r="177" ht="15.75" customHeight="1">
      <c r="A177" s="413"/>
      <c r="B177" s="413"/>
      <c r="C177" s="413"/>
      <c r="D177" s="413"/>
      <c r="E177" s="413"/>
      <c r="F177" s="413"/>
    </row>
    <row r="178" ht="15.75" customHeight="1">
      <c r="A178" s="413"/>
      <c r="B178" s="413"/>
      <c r="C178" s="413"/>
      <c r="D178" s="413"/>
      <c r="E178" s="413"/>
      <c r="F178" s="413"/>
    </row>
    <row r="179" ht="15.75" customHeight="1">
      <c r="A179" s="413"/>
      <c r="B179" s="413"/>
      <c r="C179" s="413"/>
      <c r="D179" s="413"/>
      <c r="E179" s="413"/>
      <c r="F179" s="413"/>
    </row>
    <row r="180" ht="15.75" customHeight="1">
      <c r="A180" s="413"/>
      <c r="B180" s="413"/>
      <c r="C180" s="413"/>
      <c r="D180" s="413"/>
      <c r="E180" s="413"/>
      <c r="F180" s="413"/>
    </row>
    <row r="181" ht="15.75" customHeight="1">
      <c r="A181" s="413"/>
      <c r="B181" s="413"/>
      <c r="C181" s="413"/>
      <c r="D181" s="413"/>
      <c r="E181" s="413"/>
      <c r="F181" s="413"/>
    </row>
    <row r="182" ht="15.75" customHeight="1">
      <c r="A182" s="413"/>
      <c r="B182" s="413"/>
      <c r="C182" s="413"/>
      <c r="D182" s="413"/>
      <c r="E182" s="413"/>
      <c r="F182" s="413"/>
    </row>
    <row r="183" ht="15.75" customHeight="1">
      <c r="A183" s="413"/>
      <c r="B183" s="413"/>
      <c r="C183" s="413"/>
      <c r="D183" s="413"/>
      <c r="E183" s="413"/>
      <c r="F183" s="413"/>
    </row>
    <row r="184" ht="15.75" customHeight="1">
      <c r="A184" s="413"/>
      <c r="B184" s="413"/>
      <c r="C184" s="413"/>
      <c r="D184" s="413"/>
      <c r="E184" s="413"/>
      <c r="F184" s="413"/>
    </row>
    <row r="185" ht="15.75" customHeight="1">
      <c r="A185" s="413"/>
      <c r="B185" s="413"/>
      <c r="C185" s="413"/>
      <c r="D185" s="413"/>
      <c r="E185" s="413"/>
      <c r="F185" s="413"/>
    </row>
    <row r="186" ht="15.75" customHeight="1">
      <c r="A186" s="413"/>
      <c r="B186" s="413"/>
      <c r="C186" s="413"/>
      <c r="D186" s="413"/>
      <c r="E186" s="413"/>
      <c r="F186" s="413"/>
    </row>
    <row r="187" ht="15.75" customHeight="1">
      <c r="A187" s="413"/>
      <c r="B187" s="413"/>
      <c r="C187" s="413"/>
      <c r="D187" s="413"/>
      <c r="E187" s="413"/>
      <c r="F187" s="413"/>
    </row>
    <row r="188" ht="15.75" customHeight="1">
      <c r="A188" s="413"/>
      <c r="B188" s="413"/>
      <c r="C188" s="413"/>
      <c r="D188" s="413"/>
      <c r="E188" s="413"/>
      <c r="F188" s="413"/>
    </row>
    <row r="189" ht="15.75" customHeight="1">
      <c r="A189" s="413"/>
      <c r="B189" s="413"/>
      <c r="C189" s="413"/>
      <c r="D189" s="413"/>
      <c r="E189" s="413"/>
      <c r="F189" s="413"/>
    </row>
    <row r="190" ht="15.75" customHeight="1">
      <c r="A190" s="413"/>
      <c r="B190" s="413"/>
      <c r="C190" s="413"/>
      <c r="D190" s="413"/>
      <c r="E190" s="413"/>
      <c r="F190" s="413"/>
    </row>
    <row r="191" ht="15.75" customHeight="1">
      <c r="A191" s="413"/>
      <c r="B191" s="413"/>
      <c r="C191" s="413"/>
      <c r="D191" s="413"/>
      <c r="E191" s="413"/>
      <c r="F191" s="413"/>
    </row>
    <row r="192" ht="15.75" customHeight="1">
      <c r="A192" s="413"/>
      <c r="B192" s="413"/>
      <c r="C192" s="413"/>
      <c r="D192" s="413"/>
      <c r="E192" s="413"/>
      <c r="F192" s="413"/>
    </row>
    <row r="193" ht="15.75" customHeight="1">
      <c r="A193" s="413"/>
      <c r="B193" s="413"/>
      <c r="C193" s="413"/>
      <c r="D193" s="413"/>
      <c r="E193" s="413"/>
      <c r="F193" s="413"/>
    </row>
    <row r="194" ht="15.75" customHeight="1">
      <c r="A194" s="413"/>
      <c r="B194" s="413"/>
      <c r="C194" s="413"/>
      <c r="D194" s="413"/>
      <c r="E194" s="413"/>
      <c r="F194" s="413"/>
    </row>
    <row r="195" ht="15.75" customHeight="1">
      <c r="A195" s="413"/>
      <c r="B195" s="413"/>
      <c r="C195" s="413"/>
      <c r="D195" s="413"/>
      <c r="E195" s="413"/>
      <c r="F195" s="413"/>
    </row>
    <row r="196" ht="15.75" customHeight="1">
      <c r="A196" s="413"/>
      <c r="B196" s="413"/>
      <c r="C196" s="413"/>
      <c r="D196" s="413"/>
      <c r="E196" s="413"/>
      <c r="F196" s="413"/>
    </row>
    <row r="197" ht="15.75" customHeight="1">
      <c r="A197" s="413"/>
      <c r="B197" s="413"/>
      <c r="C197" s="413"/>
      <c r="D197" s="413"/>
      <c r="E197" s="413"/>
      <c r="F197" s="413"/>
    </row>
    <row r="198" ht="15.75" customHeight="1">
      <c r="A198" s="413"/>
      <c r="B198" s="413"/>
      <c r="C198" s="413"/>
      <c r="D198" s="413"/>
      <c r="E198" s="413"/>
      <c r="F198" s="413"/>
    </row>
    <row r="199" ht="15.75" customHeight="1">
      <c r="A199" s="413"/>
      <c r="B199" s="413"/>
      <c r="C199" s="413"/>
      <c r="D199" s="413"/>
      <c r="E199" s="413"/>
      <c r="F199" s="413"/>
    </row>
    <row r="200" ht="15.75" customHeight="1">
      <c r="A200" s="413"/>
      <c r="B200" s="413"/>
      <c r="C200" s="413"/>
      <c r="D200" s="413"/>
      <c r="E200" s="413"/>
      <c r="F200" s="413"/>
    </row>
    <row r="201" ht="25.5" customHeight="1">
      <c r="A201" s="413"/>
      <c r="B201" s="413"/>
      <c r="C201" s="413"/>
      <c r="D201" s="413"/>
      <c r="E201" s="413"/>
      <c r="F201" s="413"/>
    </row>
    <row r="202" ht="15.75" customHeight="1">
      <c r="A202" s="413"/>
      <c r="B202" s="413"/>
      <c r="C202" s="413"/>
      <c r="D202" s="413"/>
      <c r="E202" s="413"/>
      <c r="F202" s="413"/>
    </row>
    <row r="203" ht="15.75" customHeight="1">
      <c r="A203" s="413"/>
      <c r="B203" s="413"/>
      <c r="C203" s="413"/>
      <c r="D203" s="413"/>
      <c r="E203" s="413"/>
      <c r="F203" s="413"/>
    </row>
    <row r="204" ht="15.75" customHeight="1">
      <c r="A204" s="413"/>
      <c r="B204" s="413"/>
      <c r="C204" s="413"/>
      <c r="D204" s="413"/>
      <c r="E204" s="413"/>
      <c r="F204" s="413"/>
    </row>
    <row r="205" ht="15.75" customHeight="1">
      <c r="A205" s="413"/>
      <c r="B205" s="413"/>
      <c r="C205" s="413"/>
      <c r="D205" s="413"/>
      <c r="E205" s="413"/>
      <c r="F205" s="413"/>
    </row>
    <row r="206" ht="15.75" customHeight="1">
      <c r="A206" s="413"/>
      <c r="B206" s="413"/>
      <c r="C206" s="413"/>
      <c r="D206" s="413"/>
      <c r="E206" s="413"/>
      <c r="F206" s="413"/>
    </row>
    <row r="207" ht="15.75" customHeight="1">
      <c r="A207" s="413"/>
      <c r="B207" s="413"/>
      <c r="C207" s="413"/>
      <c r="D207" s="413"/>
      <c r="E207" s="413"/>
      <c r="F207" s="413"/>
    </row>
    <row r="208" ht="15.75" customHeight="1">
      <c r="A208" s="413"/>
      <c r="B208" s="413"/>
      <c r="C208" s="413"/>
      <c r="D208" s="413"/>
      <c r="E208" s="413"/>
      <c r="F208" s="413"/>
    </row>
    <row r="209" ht="15.75" customHeight="1">
      <c r="A209" s="413"/>
      <c r="B209" s="413"/>
      <c r="C209" s="413"/>
      <c r="D209" s="413"/>
      <c r="E209" s="413"/>
      <c r="F209" s="413"/>
    </row>
    <row r="210" ht="15.75" customHeight="1">
      <c r="A210" s="413"/>
      <c r="B210" s="413"/>
      <c r="C210" s="413"/>
      <c r="D210" s="413"/>
      <c r="E210" s="413"/>
      <c r="F210" s="413"/>
    </row>
    <row r="211" ht="15.75" customHeight="1">
      <c r="A211" s="413"/>
      <c r="B211" s="413"/>
      <c r="C211" s="413"/>
      <c r="D211" s="413"/>
      <c r="E211" s="413"/>
      <c r="F211" s="413"/>
    </row>
    <row r="212" ht="15.75" customHeight="1">
      <c r="A212" s="413"/>
      <c r="B212" s="413"/>
      <c r="C212" s="413"/>
      <c r="D212" s="413"/>
      <c r="E212" s="413"/>
      <c r="F212" s="413"/>
    </row>
    <row r="213" ht="15.75" customHeight="1">
      <c r="A213" s="413"/>
      <c r="B213" s="413"/>
      <c r="C213" s="413"/>
      <c r="D213" s="413"/>
      <c r="E213" s="413"/>
      <c r="F213" s="413"/>
    </row>
    <row r="214" ht="15.75" customHeight="1">
      <c r="A214" s="413"/>
      <c r="B214" s="413"/>
      <c r="C214" s="413"/>
      <c r="D214" s="413"/>
      <c r="E214" s="413"/>
      <c r="F214" s="413"/>
    </row>
    <row r="215" ht="15.75" customHeight="1">
      <c r="A215" s="413"/>
      <c r="B215" s="413"/>
      <c r="C215" s="413"/>
      <c r="D215" s="413"/>
      <c r="E215" s="413"/>
      <c r="F215" s="413"/>
    </row>
    <row r="216" ht="15.75" customHeight="1">
      <c r="A216" s="413"/>
      <c r="B216" s="413"/>
      <c r="C216" s="413"/>
      <c r="D216" s="413"/>
      <c r="E216" s="413"/>
      <c r="F216" s="413"/>
    </row>
    <row r="217" ht="15.75" customHeight="1">
      <c r="A217" s="413"/>
      <c r="B217" s="413"/>
      <c r="C217" s="413"/>
      <c r="D217" s="413"/>
      <c r="E217" s="413"/>
      <c r="F217" s="413"/>
    </row>
    <row r="218" ht="15.75" customHeight="1">
      <c r="A218" s="413"/>
      <c r="B218" s="413"/>
      <c r="C218" s="413"/>
      <c r="D218" s="413"/>
      <c r="E218" s="413"/>
      <c r="F218" s="413"/>
    </row>
    <row r="219" ht="15.75" customHeight="1">
      <c r="A219" s="413"/>
      <c r="B219" s="413"/>
      <c r="C219" s="413"/>
      <c r="D219" s="413"/>
      <c r="E219" s="413"/>
      <c r="F219" s="413"/>
    </row>
    <row r="220" ht="15.75" customHeight="1">
      <c r="A220" s="413"/>
      <c r="B220" s="413"/>
      <c r="C220" s="413"/>
      <c r="D220" s="413"/>
      <c r="E220" s="413"/>
      <c r="F220" s="413"/>
    </row>
    <row r="221" ht="15.75" customHeight="1">
      <c r="A221" s="413"/>
      <c r="B221" s="413"/>
      <c r="C221" s="413"/>
      <c r="D221" s="413"/>
      <c r="E221" s="413"/>
      <c r="F221" s="413"/>
    </row>
    <row r="222" ht="15.75" customHeight="1">
      <c r="A222" s="413"/>
      <c r="B222" s="413"/>
      <c r="C222" s="413"/>
      <c r="D222" s="413"/>
      <c r="E222" s="413"/>
      <c r="F222" s="413"/>
    </row>
    <row r="223" ht="15.75" customHeight="1">
      <c r="A223" s="413"/>
      <c r="B223" s="413"/>
      <c r="C223" s="413"/>
      <c r="D223" s="413"/>
      <c r="E223" s="413"/>
      <c r="F223" s="413"/>
    </row>
    <row r="224" ht="15.75" customHeight="1">
      <c r="A224" s="413"/>
      <c r="B224" s="413"/>
      <c r="C224" s="413"/>
      <c r="D224" s="413"/>
      <c r="E224" s="413"/>
      <c r="F224" s="413"/>
    </row>
    <row r="225" ht="15.75" customHeight="1">
      <c r="A225" s="413"/>
      <c r="B225" s="413"/>
      <c r="C225" s="413"/>
      <c r="D225" s="413"/>
      <c r="E225" s="413"/>
      <c r="F225" s="413"/>
    </row>
    <row r="226" ht="15.75" customHeight="1">
      <c r="A226" s="413"/>
      <c r="B226" s="413"/>
      <c r="C226" s="413"/>
      <c r="D226" s="413"/>
      <c r="E226" s="413"/>
      <c r="F226" s="413"/>
    </row>
    <row r="227" ht="15.75" customHeight="1">
      <c r="A227" s="413"/>
      <c r="B227" s="413"/>
      <c r="C227" s="413"/>
      <c r="D227" s="413"/>
      <c r="E227" s="413"/>
      <c r="F227" s="413"/>
    </row>
    <row r="228" ht="15.75" customHeight="1">
      <c r="A228" s="413"/>
      <c r="B228" s="413"/>
      <c r="C228" s="413"/>
      <c r="D228" s="413"/>
      <c r="E228" s="413"/>
      <c r="F228" s="413"/>
    </row>
    <row r="229" ht="15.75" customHeight="1">
      <c r="A229" s="413"/>
      <c r="B229" s="413"/>
      <c r="C229" s="413"/>
      <c r="D229" s="413"/>
      <c r="E229" s="413"/>
      <c r="F229" s="413"/>
    </row>
    <row r="230" ht="15.75" customHeight="1">
      <c r="A230" s="413"/>
      <c r="B230" s="413"/>
      <c r="C230" s="413"/>
      <c r="D230" s="413"/>
      <c r="E230" s="413"/>
      <c r="F230" s="413"/>
    </row>
    <row r="231" ht="15.75" customHeight="1">
      <c r="A231" s="413"/>
      <c r="B231" s="413"/>
      <c r="C231" s="413"/>
      <c r="D231" s="413"/>
      <c r="E231" s="413"/>
      <c r="F231" s="413"/>
    </row>
    <row r="232" ht="15.75" customHeight="1">
      <c r="A232" s="413"/>
      <c r="B232" s="413"/>
      <c r="C232" s="413"/>
      <c r="D232" s="413"/>
      <c r="E232" s="413"/>
      <c r="F232" s="413"/>
    </row>
    <row r="233" ht="15.75" customHeight="1">
      <c r="A233" s="413"/>
      <c r="B233" s="413"/>
      <c r="C233" s="413"/>
      <c r="D233" s="413"/>
      <c r="E233" s="413"/>
      <c r="F233" s="413"/>
    </row>
    <row r="234" ht="15.75" customHeight="1">
      <c r="A234" s="413"/>
      <c r="B234" s="413"/>
      <c r="C234" s="413"/>
      <c r="D234" s="413"/>
      <c r="E234" s="413"/>
      <c r="F234" s="413"/>
    </row>
    <row r="235" ht="15.75" customHeight="1">
      <c r="A235" s="413"/>
      <c r="B235" s="413"/>
      <c r="C235" s="413"/>
      <c r="D235" s="413"/>
      <c r="E235" s="413"/>
      <c r="F235" s="413"/>
    </row>
    <row r="236" ht="15.75" customHeight="1">
      <c r="A236" s="413"/>
      <c r="B236" s="413"/>
      <c r="C236" s="413"/>
      <c r="D236" s="413"/>
      <c r="E236" s="413"/>
      <c r="F236" s="413"/>
    </row>
    <row r="237" ht="15.75" customHeight="1">
      <c r="A237" s="413"/>
      <c r="B237" s="413"/>
      <c r="C237" s="413"/>
      <c r="D237" s="413"/>
      <c r="E237" s="413"/>
      <c r="F237" s="413"/>
    </row>
    <row r="238" ht="15.75" customHeight="1">
      <c r="A238" s="413"/>
      <c r="B238" s="413"/>
      <c r="C238" s="413"/>
      <c r="D238" s="413"/>
      <c r="E238" s="413"/>
      <c r="F238" s="413"/>
    </row>
    <row r="239" ht="15.75" customHeight="1">
      <c r="A239" s="413"/>
      <c r="B239" s="413"/>
      <c r="C239" s="413"/>
      <c r="D239" s="413"/>
      <c r="E239" s="413"/>
      <c r="F239" s="413"/>
    </row>
    <row r="240" ht="15.75" customHeight="1">
      <c r="A240" s="413"/>
      <c r="B240" s="413"/>
      <c r="C240" s="413"/>
      <c r="D240" s="413"/>
      <c r="E240" s="413"/>
      <c r="F240" s="413"/>
    </row>
    <row r="241" ht="15.75" customHeight="1">
      <c r="A241" s="413"/>
      <c r="B241" s="413"/>
      <c r="C241" s="413"/>
      <c r="D241" s="413"/>
      <c r="E241" s="413"/>
      <c r="F241" s="413"/>
    </row>
    <row r="242" ht="15.75" customHeight="1">
      <c r="A242" s="413"/>
      <c r="B242" s="413"/>
      <c r="C242" s="413"/>
      <c r="D242" s="413"/>
      <c r="E242" s="413"/>
      <c r="F242" s="413"/>
    </row>
    <row r="243" ht="15.75" customHeight="1">
      <c r="A243" s="413"/>
      <c r="B243" s="413"/>
      <c r="C243" s="413"/>
      <c r="D243" s="413"/>
      <c r="E243" s="413"/>
      <c r="F243" s="413"/>
    </row>
    <row r="244" ht="15.75" customHeight="1">
      <c r="A244" s="413"/>
      <c r="B244" s="413"/>
      <c r="C244" s="413"/>
      <c r="D244" s="413"/>
      <c r="E244" s="413"/>
      <c r="F244" s="413"/>
    </row>
    <row r="245" ht="15.75" customHeight="1">
      <c r="A245" s="413"/>
      <c r="B245" s="413"/>
      <c r="C245" s="413"/>
      <c r="D245" s="413"/>
      <c r="E245" s="413"/>
      <c r="F245" s="413"/>
    </row>
    <row r="246" ht="15.75" customHeight="1">
      <c r="A246" s="413"/>
      <c r="B246" s="413"/>
      <c r="C246" s="413"/>
      <c r="D246" s="413"/>
      <c r="E246" s="413"/>
      <c r="F246" s="413"/>
    </row>
    <row r="247" ht="15.75" customHeight="1">
      <c r="A247" s="413"/>
      <c r="B247" s="413"/>
      <c r="C247" s="413"/>
      <c r="D247" s="413"/>
      <c r="E247" s="413"/>
      <c r="F247" s="413"/>
    </row>
    <row r="248" ht="15.75" customHeight="1">
      <c r="A248" s="413"/>
      <c r="B248" s="413"/>
      <c r="C248" s="413"/>
      <c r="D248" s="413"/>
      <c r="E248" s="413"/>
      <c r="F248" s="413"/>
    </row>
    <row r="249" ht="15.75" customHeight="1">
      <c r="A249" s="413"/>
      <c r="B249" s="413"/>
      <c r="C249" s="413"/>
      <c r="D249" s="413"/>
      <c r="E249" s="413"/>
      <c r="F249" s="413"/>
    </row>
    <row r="250" ht="15.75" customHeight="1">
      <c r="A250" s="413"/>
      <c r="B250" s="413"/>
      <c r="C250" s="413"/>
      <c r="D250" s="413"/>
      <c r="E250" s="413"/>
      <c r="F250" s="413"/>
    </row>
    <row r="251" ht="15.75" customHeight="1">
      <c r="A251" s="413"/>
      <c r="B251" s="413"/>
      <c r="C251" s="413"/>
      <c r="D251" s="413"/>
      <c r="E251" s="413"/>
      <c r="F251" s="413"/>
    </row>
    <row r="252" ht="15.75" customHeight="1">
      <c r="A252" s="413"/>
      <c r="B252" s="413"/>
      <c r="C252" s="413"/>
      <c r="D252" s="413"/>
      <c r="E252" s="413"/>
      <c r="F252" s="413"/>
    </row>
    <row r="253" ht="15.75" customHeight="1">
      <c r="A253" s="413"/>
      <c r="B253" s="413"/>
      <c r="C253" s="413"/>
      <c r="D253" s="413"/>
      <c r="E253" s="413"/>
      <c r="F253" s="413"/>
    </row>
    <row r="254" ht="15.75" customHeight="1">
      <c r="A254" s="413"/>
      <c r="B254" s="413"/>
      <c r="C254" s="413"/>
      <c r="D254" s="413"/>
      <c r="E254" s="413"/>
      <c r="F254" s="413"/>
    </row>
    <row r="255" ht="15.75" customHeight="1">
      <c r="A255" s="413"/>
      <c r="B255" s="413"/>
      <c r="C255" s="413"/>
      <c r="D255" s="413"/>
      <c r="E255" s="413"/>
      <c r="F255" s="413"/>
    </row>
    <row r="256" ht="15.75" customHeight="1">
      <c r="A256" s="413"/>
      <c r="B256" s="413"/>
      <c r="C256" s="413"/>
      <c r="D256" s="413"/>
      <c r="E256" s="413"/>
      <c r="F256" s="413"/>
    </row>
    <row r="257" ht="15.75" customHeight="1">
      <c r="A257" s="413"/>
      <c r="B257" s="413"/>
      <c r="C257" s="413"/>
      <c r="D257" s="413"/>
      <c r="E257" s="413"/>
      <c r="F257" s="413"/>
    </row>
    <row r="258" ht="15.75" customHeight="1">
      <c r="A258" s="413"/>
      <c r="B258" s="413"/>
      <c r="C258" s="413"/>
      <c r="D258" s="413"/>
      <c r="E258" s="413"/>
      <c r="F258" s="413"/>
    </row>
    <row r="259" ht="15.75" customHeight="1">
      <c r="A259" s="413"/>
      <c r="B259" s="413"/>
      <c r="C259" s="413"/>
      <c r="D259" s="413"/>
      <c r="E259" s="413"/>
      <c r="F259" s="413"/>
    </row>
    <row r="260" ht="15.75" customHeight="1">
      <c r="A260" s="413"/>
      <c r="B260" s="413"/>
      <c r="C260" s="413"/>
      <c r="D260" s="413"/>
      <c r="E260" s="413"/>
      <c r="F260" s="413"/>
    </row>
    <row r="261" ht="15.75" customHeight="1">
      <c r="A261" s="413"/>
      <c r="B261" s="413"/>
      <c r="C261" s="413"/>
      <c r="D261" s="413"/>
      <c r="E261" s="413"/>
      <c r="F261" s="413"/>
    </row>
    <row r="262" ht="15.75" customHeight="1">
      <c r="A262" s="413"/>
      <c r="B262" s="413"/>
      <c r="C262" s="413"/>
      <c r="D262" s="413"/>
      <c r="E262" s="413"/>
      <c r="F262" s="413"/>
    </row>
    <row r="263" ht="15.75" customHeight="1">
      <c r="A263" s="413"/>
      <c r="B263" s="413"/>
      <c r="C263" s="413"/>
      <c r="D263" s="413"/>
      <c r="E263" s="413"/>
      <c r="F263" s="413"/>
    </row>
    <row r="264" ht="15.75" customHeight="1">
      <c r="A264" s="413"/>
      <c r="B264" s="413"/>
      <c r="C264" s="413"/>
      <c r="D264" s="413"/>
      <c r="E264" s="413"/>
      <c r="F264" s="413"/>
    </row>
    <row r="265" ht="15.75" customHeight="1">
      <c r="A265" s="413"/>
      <c r="B265" s="413"/>
      <c r="C265" s="413"/>
      <c r="D265" s="413"/>
      <c r="E265" s="413"/>
      <c r="F265" s="413"/>
    </row>
    <row r="266" ht="15.75" customHeight="1">
      <c r="A266" s="413"/>
      <c r="B266" s="413"/>
      <c r="C266" s="413"/>
      <c r="D266" s="413"/>
      <c r="E266" s="413"/>
      <c r="F266" s="413"/>
    </row>
    <row r="267" ht="15.75" customHeight="1">
      <c r="A267" s="413"/>
      <c r="B267" s="413"/>
      <c r="C267" s="413"/>
      <c r="D267" s="413"/>
      <c r="E267" s="413"/>
      <c r="F267" s="413"/>
    </row>
    <row r="268" ht="15.75" customHeight="1">
      <c r="A268" s="413"/>
      <c r="B268" s="413"/>
      <c r="C268" s="413"/>
      <c r="D268" s="413"/>
      <c r="E268" s="413"/>
      <c r="F268" s="413"/>
    </row>
    <row r="269" ht="15.75" customHeight="1">
      <c r="A269" s="413"/>
      <c r="B269" s="413"/>
      <c r="C269" s="413"/>
      <c r="D269" s="413"/>
      <c r="E269" s="413"/>
      <c r="F269" s="413"/>
    </row>
    <row r="270" ht="15.75" customHeight="1">
      <c r="A270" s="413"/>
      <c r="B270" s="413"/>
      <c r="C270" s="413"/>
      <c r="D270" s="413"/>
      <c r="E270" s="413"/>
      <c r="F270" s="413"/>
    </row>
    <row r="271" ht="15.75" customHeight="1">
      <c r="A271" s="413"/>
      <c r="B271" s="413"/>
      <c r="C271" s="413"/>
      <c r="D271" s="413"/>
      <c r="E271" s="413"/>
      <c r="F271" s="413"/>
    </row>
    <row r="272" ht="15.75" customHeight="1">
      <c r="A272" s="413"/>
      <c r="B272" s="413"/>
      <c r="C272" s="413"/>
      <c r="D272" s="413"/>
      <c r="E272" s="413"/>
      <c r="F272" s="413"/>
    </row>
    <row r="273" ht="15.75" customHeight="1">
      <c r="A273" s="413"/>
      <c r="B273" s="413"/>
      <c r="C273" s="413"/>
      <c r="D273" s="413"/>
      <c r="E273" s="413"/>
      <c r="F273" s="413"/>
    </row>
    <row r="274" ht="15.75" customHeight="1">
      <c r="A274" s="413"/>
      <c r="B274" s="413"/>
      <c r="C274" s="413"/>
      <c r="D274" s="413"/>
      <c r="E274" s="413"/>
      <c r="F274" s="413"/>
    </row>
    <row r="275" ht="15.75" customHeight="1">
      <c r="A275" s="413"/>
      <c r="B275" s="413"/>
      <c r="C275" s="413"/>
      <c r="D275" s="413"/>
      <c r="E275" s="413"/>
      <c r="F275" s="413"/>
    </row>
    <row r="276" ht="15.75" customHeight="1">
      <c r="A276" s="413"/>
      <c r="B276" s="413"/>
      <c r="C276" s="413"/>
      <c r="D276" s="413"/>
      <c r="E276" s="413"/>
      <c r="F276" s="413"/>
    </row>
    <row r="277" ht="15.75" customHeight="1">
      <c r="A277" s="413"/>
      <c r="B277" s="413"/>
      <c r="C277" s="413"/>
      <c r="D277" s="413"/>
      <c r="E277" s="413"/>
      <c r="F277" s="413"/>
    </row>
    <row r="278" ht="15.75" customHeight="1">
      <c r="A278" s="413"/>
      <c r="B278" s="413"/>
      <c r="C278" s="413"/>
      <c r="D278" s="413"/>
      <c r="E278" s="413"/>
      <c r="F278" s="413"/>
    </row>
    <row r="279" ht="15.75" customHeight="1">
      <c r="A279" s="413"/>
      <c r="B279" s="413"/>
      <c r="C279" s="413"/>
      <c r="D279" s="413"/>
      <c r="E279" s="413"/>
      <c r="F279" s="413"/>
    </row>
    <row r="280" ht="15.75" customHeight="1">
      <c r="A280" s="413"/>
      <c r="B280" s="413"/>
      <c r="C280" s="413"/>
      <c r="D280" s="413"/>
      <c r="E280" s="413"/>
      <c r="F280" s="413"/>
    </row>
    <row r="281" ht="15.75" customHeight="1">
      <c r="A281" s="413"/>
      <c r="B281" s="413"/>
      <c r="C281" s="413"/>
      <c r="D281" s="413"/>
      <c r="E281" s="413"/>
      <c r="F281" s="413"/>
    </row>
    <row r="282" ht="15.75" customHeight="1">
      <c r="A282" s="413"/>
      <c r="B282" s="413"/>
      <c r="C282" s="413"/>
      <c r="D282" s="413"/>
      <c r="E282" s="413"/>
      <c r="F282" s="413"/>
    </row>
    <row r="283" ht="15.75" customHeight="1">
      <c r="A283" s="413"/>
      <c r="B283" s="413"/>
      <c r="C283" s="413"/>
      <c r="D283" s="413"/>
      <c r="E283" s="413"/>
      <c r="F283" s="413"/>
    </row>
    <row r="284" ht="15.75" customHeight="1">
      <c r="A284" s="413"/>
      <c r="B284" s="413"/>
      <c r="C284" s="413"/>
      <c r="D284" s="413"/>
      <c r="E284" s="413"/>
      <c r="F284" s="413"/>
    </row>
    <row r="285" ht="15.75" customHeight="1">
      <c r="A285" s="413"/>
      <c r="B285" s="413"/>
      <c r="C285" s="413"/>
      <c r="D285" s="413"/>
      <c r="E285" s="413"/>
      <c r="F285" s="413"/>
    </row>
    <row r="286" ht="15.75" customHeight="1">
      <c r="A286" s="413"/>
      <c r="B286" s="413"/>
      <c r="C286" s="413"/>
      <c r="D286" s="413"/>
      <c r="E286" s="413"/>
      <c r="F286" s="413"/>
    </row>
    <row r="287" ht="15.75" customHeight="1">
      <c r="A287" s="413"/>
      <c r="B287" s="413"/>
      <c r="C287" s="413"/>
      <c r="D287" s="413"/>
      <c r="E287" s="413"/>
      <c r="F287" s="413"/>
    </row>
    <row r="288" ht="15.75" customHeight="1">
      <c r="A288" s="413"/>
      <c r="B288" s="413"/>
      <c r="C288" s="413"/>
      <c r="D288" s="413"/>
      <c r="E288" s="413"/>
      <c r="F288" s="413"/>
    </row>
    <row r="289" ht="15.75" customHeight="1">
      <c r="A289" s="413"/>
      <c r="B289" s="413"/>
      <c r="C289" s="413"/>
      <c r="D289" s="413"/>
      <c r="E289" s="413"/>
      <c r="F289" s="413"/>
    </row>
    <row r="290" ht="15.75" customHeight="1">
      <c r="A290" s="413"/>
      <c r="B290" s="413"/>
      <c r="C290" s="413"/>
      <c r="D290" s="413"/>
      <c r="E290" s="413"/>
      <c r="F290" s="413"/>
    </row>
    <row r="291" ht="15.75" customHeight="1">
      <c r="A291" s="413"/>
      <c r="B291" s="413"/>
      <c r="C291" s="413"/>
      <c r="D291" s="413"/>
      <c r="E291" s="413"/>
      <c r="F291" s="413"/>
    </row>
    <row r="292" ht="15.75" customHeight="1">
      <c r="A292" s="413"/>
      <c r="B292" s="413"/>
      <c r="C292" s="413"/>
      <c r="D292" s="413"/>
      <c r="E292" s="413"/>
      <c r="F292" s="413"/>
    </row>
    <row r="293" ht="15.75" customHeight="1">
      <c r="A293" s="413"/>
      <c r="B293" s="413"/>
      <c r="C293" s="413"/>
      <c r="D293" s="413"/>
      <c r="E293" s="413"/>
      <c r="F293" s="413"/>
    </row>
    <row r="294" ht="15.75" customHeight="1">
      <c r="A294" s="413"/>
      <c r="B294" s="413"/>
      <c r="C294" s="413"/>
      <c r="D294" s="413"/>
      <c r="E294" s="413"/>
      <c r="F294" s="413"/>
    </row>
    <row r="295" ht="15.75" customHeight="1">
      <c r="A295" s="413"/>
      <c r="B295" s="413"/>
      <c r="C295" s="413"/>
      <c r="D295" s="413"/>
      <c r="E295" s="413"/>
      <c r="F295" s="413"/>
    </row>
    <row r="296" ht="15.75" customHeight="1">
      <c r="A296" s="413"/>
      <c r="B296" s="413"/>
      <c r="C296" s="413"/>
      <c r="D296" s="413"/>
      <c r="E296" s="413"/>
      <c r="F296" s="413"/>
    </row>
    <row r="297" ht="15.75" customHeight="1">
      <c r="A297" s="413"/>
      <c r="B297" s="413"/>
      <c r="C297" s="413"/>
      <c r="D297" s="413"/>
      <c r="E297" s="413"/>
      <c r="F297" s="413"/>
    </row>
    <row r="298" ht="15.75" customHeight="1">
      <c r="A298" s="413"/>
      <c r="B298" s="413"/>
      <c r="C298" s="413"/>
      <c r="D298" s="413"/>
      <c r="E298" s="413"/>
      <c r="F298" s="413"/>
    </row>
    <row r="299" ht="15.75" customHeight="1">
      <c r="A299" s="413"/>
      <c r="B299" s="413"/>
      <c r="C299" s="413"/>
      <c r="D299" s="413"/>
      <c r="E299" s="413"/>
      <c r="F299" s="413"/>
    </row>
    <row r="300" ht="15.75" customHeight="1">
      <c r="A300" s="413"/>
      <c r="B300" s="413"/>
      <c r="C300" s="413"/>
      <c r="D300" s="413"/>
      <c r="E300" s="413"/>
      <c r="F300" s="413"/>
    </row>
    <row r="301" ht="15.75" customHeight="1">
      <c r="A301" s="413"/>
      <c r="B301" s="413"/>
      <c r="C301" s="413"/>
      <c r="D301" s="413"/>
      <c r="E301" s="413"/>
      <c r="F301" s="413"/>
    </row>
    <row r="302" ht="15.75" customHeight="1">
      <c r="A302" s="413"/>
      <c r="B302" s="413"/>
      <c r="C302" s="413"/>
      <c r="D302" s="413"/>
      <c r="E302" s="413"/>
      <c r="F302" s="413"/>
    </row>
    <row r="303" ht="15.75" customHeight="1">
      <c r="A303" s="458"/>
      <c r="B303" s="458"/>
      <c r="C303" s="458"/>
      <c r="D303" s="458"/>
      <c r="E303" s="458"/>
      <c r="F303" s="458"/>
    </row>
    <row r="304" ht="15.75" customHeight="1">
      <c r="A304" s="458"/>
      <c r="B304" s="458"/>
      <c r="C304" s="458"/>
      <c r="D304" s="458"/>
      <c r="E304" s="458"/>
      <c r="F304" s="458"/>
    </row>
    <row r="305" ht="15.75" customHeight="1">
      <c r="A305" s="458"/>
      <c r="B305" s="458"/>
      <c r="C305" s="458"/>
      <c r="D305" s="458"/>
      <c r="E305" s="458"/>
      <c r="F305" s="458"/>
    </row>
    <row r="306" ht="15.75" customHeight="1">
      <c r="A306" s="458"/>
      <c r="B306" s="458"/>
      <c r="C306" s="458"/>
      <c r="D306" s="458"/>
      <c r="E306" s="458"/>
      <c r="F306" s="458"/>
    </row>
    <row r="307" ht="15.75" customHeight="1">
      <c r="A307" s="458"/>
      <c r="B307" s="458"/>
      <c r="C307" s="458"/>
      <c r="D307" s="458"/>
      <c r="E307" s="458"/>
      <c r="F307" s="458"/>
    </row>
    <row r="308" ht="15.75" customHeight="1">
      <c r="A308" s="458"/>
      <c r="B308" s="458"/>
      <c r="C308" s="458"/>
      <c r="D308" s="458"/>
      <c r="E308" s="458"/>
      <c r="F308" s="458"/>
    </row>
    <row r="309" ht="15.75" customHeight="1">
      <c r="A309" s="458"/>
      <c r="B309" s="458"/>
      <c r="C309" s="458"/>
      <c r="D309" s="458"/>
      <c r="E309" s="458"/>
      <c r="F309" s="458"/>
    </row>
    <row r="310" ht="15.75" customHeight="1">
      <c r="A310" s="458"/>
      <c r="B310" s="458"/>
      <c r="C310" s="458"/>
      <c r="D310" s="458"/>
      <c r="E310" s="458"/>
      <c r="F310" s="458"/>
    </row>
    <row r="311" ht="15.75" customHeight="1">
      <c r="A311" s="458"/>
      <c r="B311" s="458"/>
      <c r="C311" s="458"/>
      <c r="D311" s="458"/>
      <c r="E311" s="458"/>
      <c r="F311" s="458"/>
    </row>
    <row r="312" ht="15.75" customHeight="1">
      <c r="A312" s="458"/>
      <c r="B312" s="458"/>
      <c r="C312" s="458"/>
      <c r="D312" s="458"/>
      <c r="E312" s="458"/>
      <c r="F312" s="458"/>
    </row>
    <row r="313" ht="15.75" customHeight="1">
      <c r="A313" s="458"/>
      <c r="B313" s="458"/>
      <c r="C313" s="458"/>
      <c r="D313" s="458"/>
      <c r="E313" s="458"/>
      <c r="F313" s="458"/>
    </row>
    <row r="314" ht="15.75" customHeight="1">
      <c r="A314" s="458"/>
      <c r="B314" s="458"/>
      <c r="C314" s="458"/>
      <c r="D314" s="458"/>
      <c r="E314" s="458"/>
      <c r="F314" s="458"/>
    </row>
    <row r="315" ht="15.75" customHeight="1">
      <c r="A315" s="458"/>
      <c r="B315" s="458"/>
      <c r="C315" s="458"/>
      <c r="D315" s="458"/>
      <c r="E315" s="458"/>
      <c r="F315" s="458"/>
    </row>
    <row r="316" ht="15.75" customHeight="1">
      <c r="A316" s="458"/>
      <c r="B316" s="458"/>
      <c r="C316" s="458"/>
      <c r="D316" s="458"/>
      <c r="E316" s="458"/>
      <c r="F316" s="458"/>
    </row>
    <row r="317" ht="15.75" customHeight="1">
      <c r="A317" s="458"/>
      <c r="B317" s="458"/>
      <c r="C317" s="458"/>
      <c r="D317" s="458"/>
      <c r="E317" s="458"/>
      <c r="F317" s="458"/>
    </row>
    <row r="318" ht="15.75" customHeight="1">
      <c r="A318" s="458"/>
      <c r="B318" s="458"/>
      <c r="C318" s="458"/>
      <c r="D318" s="458"/>
      <c r="E318" s="458"/>
      <c r="F318" s="458"/>
    </row>
    <row r="319" ht="15.75" customHeight="1">
      <c r="A319" s="458"/>
      <c r="B319" s="458"/>
      <c r="C319" s="458"/>
      <c r="D319" s="458"/>
      <c r="E319" s="458"/>
      <c r="F319" s="458"/>
    </row>
    <row r="320" ht="15.75" customHeight="1">
      <c r="A320" s="458"/>
      <c r="B320" s="458"/>
      <c r="C320" s="458"/>
      <c r="D320" s="458"/>
      <c r="E320" s="458"/>
      <c r="F320" s="458"/>
    </row>
    <row r="321" ht="15.75" customHeight="1">
      <c r="A321" s="458"/>
      <c r="B321" s="458"/>
      <c r="C321" s="458"/>
      <c r="D321" s="458"/>
      <c r="E321" s="458"/>
      <c r="F321" s="458"/>
    </row>
    <row r="322" ht="15.75" customHeight="1">
      <c r="A322" s="458"/>
      <c r="B322" s="458"/>
      <c r="C322" s="458"/>
      <c r="D322" s="458"/>
      <c r="E322" s="458"/>
      <c r="F322" s="458"/>
    </row>
    <row r="323" ht="15.75" customHeight="1">
      <c r="A323" s="458"/>
      <c r="B323" s="458"/>
      <c r="C323" s="458"/>
      <c r="D323" s="458"/>
      <c r="E323" s="458"/>
      <c r="F323" s="458"/>
    </row>
    <row r="324" ht="15.75" customHeight="1">
      <c r="A324" s="458"/>
      <c r="B324" s="458"/>
      <c r="C324" s="458"/>
      <c r="D324" s="458"/>
      <c r="E324" s="458"/>
      <c r="F324" s="458"/>
    </row>
    <row r="325" ht="15.75" customHeight="1">
      <c r="A325" s="458"/>
      <c r="B325" s="458"/>
      <c r="C325" s="458"/>
      <c r="D325" s="458"/>
      <c r="E325" s="458"/>
      <c r="F325" s="458"/>
    </row>
    <row r="326" ht="15.75" customHeight="1">
      <c r="A326" s="458"/>
      <c r="B326" s="458"/>
      <c r="C326" s="458"/>
      <c r="D326" s="458"/>
      <c r="E326" s="458"/>
      <c r="F326" s="458"/>
    </row>
    <row r="327" ht="15.75" customHeight="1">
      <c r="A327" s="458"/>
      <c r="B327" s="458"/>
      <c r="C327" s="458"/>
      <c r="D327" s="458"/>
      <c r="E327" s="458"/>
      <c r="F327" s="458"/>
    </row>
    <row r="328" ht="15.75" customHeight="1">
      <c r="A328" s="458"/>
      <c r="B328" s="458"/>
      <c r="C328" s="458"/>
      <c r="D328" s="458"/>
      <c r="E328" s="458"/>
      <c r="F328" s="458"/>
    </row>
    <row r="329" ht="15.75" customHeight="1">
      <c r="A329" s="458"/>
      <c r="B329" s="458"/>
      <c r="C329" s="458"/>
      <c r="D329" s="458"/>
      <c r="E329" s="458"/>
      <c r="F329" s="458"/>
    </row>
    <row r="330" ht="15.75" customHeight="1">
      <c r="A330" s="458"/>
      <c r="B330" s="458"/>
      <c r="C330" s="458"/>
      <c r="D330" s="458"/>
      <c r="E330" s="458"/>
      <c r="F330" s="458"/>
    </row>
    <row r="331" ht="15.75" customHeight="1">
      <c r="A331" s="458"/>
      <c r="B331" s="458"/>
      <c r="C331" s="458"/>
      <c r="D331" s="458"/>
      <c r="E331" s="458"/>
      <c r="F331" s="458"/>
    </row>
    <row r="332" ht="15.75" customHeight="1">
      <c r="A332" s="458"/>
      <c r="B332" s="458"/>
      <c r="C332" s="458"/>
      <c r="D332" s="458"/>
      <c r="E332" s="458"/>
      <c r="F332" s="458"/>
    </row>
    <row r="333" ht="15.75" customHeight="1">
      <c r="A333" s="458"/>
      <c r="B333" s="458"/>
      <c r="C333" s="458"/>
      <c r="D333" s="458"/>
      <c r="E333" s="458"/>
      <c r="F333" s="458"/>
    </row>
    <row r="334" ht="15.75" customHeight="1">
      <c r="A334" s="458"/>
      <c r="B334" s="458"/>
      <c r="C334" s="458"/>
      <c r="D334" s="458"/>
      <c r="E334" s="458"/>
      <c r="F334" s="458"/>
    </row>
    <row r="335" ht="15.75" customHeight="1">
      <c r="A335" s="458"/>
      <c r="B335" s="458"/>
      <c r="C335" s="458"/>
      <c r="D335" s="458"/>
      <c r="E335" s="458"/>
      <c r="F335" s="458"/>
    </row>
    <row r="336" ht="15.75" customHeight="1">
      <c r="A336" s="458"/>
      <c r="B336" s="458"/>
      <c r="C336" s="458"/>
      <c r="D336" s="458"/>
      <c r="E336" s="458"/>
      <c r="F336" s="458"/>
    </row>
    <row r="337" ht="15.75" customHeight="1">
      <c r="A337" s="458"/>
      <c r="B337" s="458"/>
      <c r="C337" s="458"/>
      <c r="D337" s="458"/>
      <c r="E337" s="458"/>
      <c r="F337" s="458"/>
    </row>
    <row r="338" ht="15.75" customHeight="1">
      <c r="A338" s="458"/>
      <c r="B338" s="458"/>
      <c r="C338" s="458"/>
      <c r="D338" s="458"/>
      <c r="E338" s="458"/>
      <c r="F338" s="458"/>
    </row>
    <row r="339" ht="15.75" customHeight="1">
      <c r="A339" s="458"/>
      <c r="B339" s="458"/>
      <c r="C339" s="458"/>
      <c r="D339" s="458"/>
      <c r="E339" s="458"/>
      <c r="F339" s="458"/>
    </row>
    <row r="340" ht="15.75" customHeight="1">
      <c r="A340" s="458"/>
      <c r="B340" s="458"/>
      <c r="C340" s="458"/>
      <c r="D340" s="458"/>
      <c r="E340" s="458"/>
      <c r="F340" s="458"/>
    </row>
    <row r="341" ht="15.75" customHeight="1">
      <c r="A341" s="458"/>
      <c r="B341" s="458"/>
      <c r="C341" s="458"/>
      <c r="D341" s="458"/>
      <c r="E341" s="458"/>
      <c r="F341" s="458"/>
    </row>
    <row r="342" ht="15.75" customHeight="1">
      <c r="A342" s="458"/>
      <c r="B342" s="458"/>
      <c r="C342" s="458"/>
      <c r="D342" s="458"/>
      <c r="E342" s="458"/>
      <c r="F342" s="458"/>
    </row>
    <row r="343" ht="15.75" customHeight="1">
      <c r="A343" s="458"/>
      <c r="B343" s="458"/>
      <c r="C343" s="458"/>
      <c r="D343" s="458"/>
      <c r="E343" s="458"/>
      <c r="F343" s="458"/>
    </row>
    <row r="344" ht="15.75" customHeight="1">
      <c r="A344" s="458"/>
      <c r="B344" s="458"/>
      <c r="C344" s="458"/>
      <c r="D344" s="458"/>
      <c r="E344" s="458"/>
      <c r="F344" s="458"/>
    </row>
    <row r="345" ht="15.75" customHeight="1">
      <c r="A345" s="458"/>
      <c r="B345" s="458"/>
      <c r="C345" s="458"/>
      <c r="D345" s="458"/>
      <c r="E345" s="458"/>
      <c r="F345" s="458"/>
    </row>
    <row r="346" ht="15.75" customHeight="1">
      <c r="A346" s="458"/>
      <c r="B346" s="458"/>
      <c r="C346" s="458"/>
      <c r="D346" s="458"/>
      <c r="E346" s="458"/>
      <c r="F346" s="458"/>
    </row>
    <row r="347" ht="15.75" customHeight="1">
      <c r="A347" s="458"/>
      <c r="B347" s="458"/>
      <c r="C347" s="458"/>
      <c r="D347" s="458"/>
      <c r="E347" s="458"/>
      <c r="F347" s="458"/>
    </row>
    <row r="348" ht="15.75" customHeight="1">
      <c r="A348" s="458"/>
      <c r="B348" s="458"/>
      <c r="C348" s="458"/>
      <c r="D348" s="458"/>
      <c r="E348" s="458"/>
      <c r="F348" s="458"/>
    </row>
    <row r="349" ht="15.75" customHeight="1">
      <c r="A349" s="458"/>
      <c r="B349" s="458"/>
      <c r="C349" s="458"/>
      <c r="D349" s="458"/>
      <c r="E349" s="458"/>
      <c r="F349" s="458"/>
    </row>
    <row r="350" ht="15.75" customHeight="1">
      <c r="A350" s="458"/>
      <c r="B350" s="458"/>
      <c r="C350" s="458"/>
      <c r="D350" s="458"/>
      <c r="E350" s="458"/>
      <c r="F350" s="458"/>
    </row>
    <row r="351" ht="15.75" customHeight="1">
      <c r="A351" s="458"/>
      <c r="B351" s="458"/>
      <c r="C351" s="458"/>
      <c r="D351" s="458"/>
      <c r="E351" s="458"/>
      <c r="F351" s="458"/>
    </row>
    <row r="352" ht="15.75" customHeight="1">
      <c r="A352" s="458"/>
      <c r="B352" s="458"/>
      <c r="C352" s="458"/>
      <c r="D352" s="458"/>
      <c r="E352" s="458"/>
      <c r="F352" s="458"/>
    </row>
    <row r="353" ht="15.75" customHeight="1">
      <c r="A353" s="458"/>
      <c r="B353" s="458"/>
      <c r="C353" s="458"/>
      <c r="D353" s="458"/>
      <c r="E353" s="458"/>
      <c r="F353" s="458"/>
    </row>
    <row r="354" ht="15.75" customHeight="1">
      <c r="A354" s="458"/>
      <c r="B354" s="458"/>
      <c r="C354" s="458"/>
      <c r="D354" s="458"/>
      <c r="E354" s="458"/>
      <c r="F354" s="458"/>
    </row>
    <row r="355" ht="15.75" customHeight="1">
      <c r="A355" s="458"/>
      <c r="B355" s="458"/>
      <c r="C355" s="458"/>
      <c r="D355" s="458"/>
      <c r="E355" s="458"/>
      <c r="F355" s="458"/>
    </row>
    <row r="356" ht="15.75" customHeight="1">
      <c r="A356" s="458"/>
      <c r="B356" s="458"/>
      <c r="C356" s="458"/>
      <c r="D356" s="458"/>
      <c r="E356" s="458"/>
      <c r="F356" s="458"/>
    </row>
    <row r="357" ht="15.75" customHeight="1">
      <c r="A357" s="458"/>
      <c r="B357" s="458"/>
      <c r="C357" s="458"/>
      <c r="D357" s="458"/>
      <c r="E357" s="458"/>
      <c r="F357" s="458"/>
    </row>
    <row r="358" ht="15.75" customHeight="1">
      <c r="A358" s="458"/>
      <c r="B358" s="458"/>
      <c r="C358" s="458"/>
      <c r="D358" s="458"/>
      <c r="E358" s="458"/>
      <c r="F358" s="458"/>
    </row>
    <row r="359" ht="15.75" customHeight="1">
      <c r="A359" s="458"/>
      <c r="B359" s="458"/>
      <c r="C359" s="458"/>
      <c r="D359" s="458"/>
      <c r="E359" s="458"/>
      <c r="F359" s="458"/>
    </row>
    <row r="360" ht="15.75" customHeight="1">
      <c r="A360" s="458"/>
      <c r="B360" s="458"/>
      <c r="C360" s="458"/>
      <c r="D360" s="458"/>
      <c r="E360" s="458"/>
      <c r="F360" s="458"/>
    </row>
    <row r="361" ht="15.75" customHeight="1">
      <c r="A361" s="458"/>
      <c r="B361" s="458"/>
      <c r="C361" s="458"/>
      <c r="D361" s="458"/>
      <c r="E361" s="458"/>
      <c r="F361" s="458"/>
    </row>
    <row r="362" ht="15.75" customHeight="1">
      <c r="A362" s="458"/>
      <c r="B362" s="458"/>
      <c r="C362" s="458"/>
      <c r="D362" s="458"/>
      <c r="E362" s="458"/>
      <c r="F362" s="458"/>
    </row>
    <row r="363" ht="15.75" customHeight="1">
      <c r="A363" s="458"/>
      <c r="B363" s="458"/>
      <c r="C363" s="458"/>
      <c r="D363" s="458"/>
      <c r="E363" s="458"/>
      <c r="F363" s="458"/>
    </row>
    <row r="364" ht="15.75" customHeight="1">
      <c r="A364" s="458"/>
      <c r="B364" s="458"/>
      <c r="C364" s="458"/>
      <c r="D364" s="458"/>
      <c r="E364" s="458"/>
      <c r="F364" s="458"/>
    </row>
    <row r="365" ht="15.75" customHeight="1">
      <c r="A365" s="458"/>
      <c r="B365" s="458"/>
      <c r="C365" s="458"/>
      <c r="D365" s="458"/>
      <c r="E365" s="458"/>
      <c r="F365" s="458"/>
    </row>
    <row r="366" ht="15.75" customHeight="1">
      <c r="A366" s="458"/>
      <c r="B366" s="458"/>
      <c r="C366" s="458"/>
      <c r="D366" s="458"/>
      <c r="E366" s="458"/>
      <c r="F366" s="458"/>
    </row>
    <row r="367" ht="15.75" customHeight="1">
      <c r="A367" s="458"/>
      <c r="B367" s="458"/>
      <c r="C367" s="458"/>
      <c r="D367" s="458"/>
      <c r="E367" s="458"/>
      <c r="F367" s="458"/>
    </row>
    <row r="368" ht="15.75" customHeight="1">
      <c r="A368" s="458"/>
      <c r="B368" s="458"/>
      <c r="C368" s="458"/>
      <c r="D368" s="458"/>
      <c r="E368" s="458"/>
      <c r="F368" s="458"/>
    </row>
    <row r="369" ht="15.75" customHeight="1">
      <c r="A369" s="458"/>
      <c r="B369" s="458"/>
      <c r="C369" s="458"/>
      <c r="D369" s="458"/>
      <c r="E369" s="458"/>
      <c r="F369" s="458"/>
    </row>
    <row r="370" ht="15.75" customHeight="1">
      <c r="A370" s="458"/>
      <c r="B370" s="458"/>
      <c r="C370" s="458"/>
      <c r="D370" s="458"/>
      <c r="E370" s="458"/>
      <c r="F370" s="458"/>
    </row>
    <row r="371" ht="15.75" customHeight="1">
      <c r="A371" s="458"/>
      <c r="B371" s="458"/>
      <c r="C371" s="458"/>
      <c r="D371" s="458"/>
      <c r="E371" s="458"/>
      <c r="F371" s="458"/>
    </row>
    <row r="372" ht="15.75" customHeight="1">
      <c r="A372" s="458"/>
      <c r="B372" s="458"/>
      <c r="C372" s="458"/>
      <c r="D372" s="458"/>
      <c r="E372" s="458"/>
      <c r="F372" s="458"/>
    </row>
    <row r="373" ht="15.75" customHeight="1">
      <c r="A373" s="458"/>
      <c r="B373" s="458"/>
      <c r="C373" s="458"/>
      <c r="D373" s="458"/>
      <c r="E373" s="458"/>
      <c r="F373" s="458"/>
    </row>
    <row r="374" ht="15.75" customHeight="1">
      <c r="A374" s="458"/>
      <c r="B374" s="458"/>
      <c r="C374" s="458"/>
      <c r="D374" s="458"/>
      <c r="E374" s="458"/>
      <c r="F374" s="458"/>
    </row>
    <row r="375" ht="15.75" customHeight="1">
      <c r="A375" s="458"/>
      <c r="B375" s="458"/>
      <c r="C375" s="458"/>
      <c r="D375" s="458"/>
      <c r="E375" s="458"/>
      <c r="F375" s="458"/>
    </row>
    <row r="376" ht="15.75" customHeight="1">
      <c r="A376" s="458"/>
      <c r="B376" s="458"/>
      <c r="C376" s="458"/>
      <c r="D376" s="458"/>
      <c r="E376" s="458"/>
      <c r="F376" s="458"/>
    </row>
    <row r="377" ht="15.75" customHeight="1">
      <c r="A377" s="458"/>
      <c r="B377" s="458"/>
      <c r="C377" s="458"/>
      <c r="D377" s="458"/>
      <c r="E377" s="458"/>
      <c r="F377" s="458"/>
    </row>
    <row r="378" ht="15.75" customHeight="1">
      <c r="A378" s="458"/>
      <c r="B378" s="458"/>
      <c r="C378" s="458"/>
      <c r="D378" s="458"/>
      <c r="E378" s="458"/>
      <c r="F378" s="458"/>
    </row>
    <row r="379" ht="15.75" customHeight="1">
      <c r="A379" s="458"/>
      <c r="B379" s="458"/>
      <c r="C379" s="458"/>
      <c r="D379" s="458"/>
      <c r="E379" s="458"/>
      <c r="F379" s="458"/>
    </row>
    <row r="380" ht="15.75" customHeight="1">
      <c r="A380" s="458"/>
      <c r="B380" s="458"/>
      <c r="C380" s="458"/>
      <c r="D380" s="458"/>
      <c r="E380" s="458"/>
      <c r="F380" s="458"/>
    </row>
    <row r="381" ht="15.75" customHeight="1">
      <c r="A381" s="458"/>
      <c r="B381" s="458"/>
      <c r="C381" s="458"/>
      <c r="D381" s="458"/>
      <c r="E381" s="458"/>
      <c r="F381" s="458"/>
    </row>
    <row r="382" ht="15.75" customHeight="1">
      <c r="A382" s="458"/>
      <c r="B382" s="458"/>
      <c r="C382" s="458"/>
      <c r="D382" s="458"/>
      <c r="E382" s="458"/>
      <c r="F382" s="458"/>
    </row>
    <row r="383" ht="15.75" customHeight="1">
      <c r="A383" s="458"/>
      <c r="B383" s="458"/>
      <c r="C383" s="458"/>
      <c r="D383" s="458"/>
      <c r="E383" s="458"/>
      <c r="F383" s="458"/>
    </row>
    <row r="384" ht="15.75" customHeight="1">
      <c r="A384" s="458"/>
      <c r="B384" s="458"/>
      <c r="C384" s="458"/>
      <c r="D384" s="458"/>
      <c r="E384" s="458"/>
      <c r="F384" s="458"/>
    </row>
    <row r="385" ht="15.75" customHeight="1">
      <c r="A385" s="458"/>
      <c r="B385" s="458"/>
      <c r="C385" s="458"/>
      <c r="D385" s="458"/>
      <c r="E385" s="458"/>
      <c r="F385" s="458"/>
    </row>
    <row r="386" ht="15.75" customHeight="1">
      <c r="A386" s="458"/>
      <c r="B386" s="458"/>
      <c r="C386" s="458"/>
      <c r="D386" s="458"/>
      <c r="E386" s="458"/>
      <c r="F386" s="458"/>
    </row>
    <row r="387" ht="15.75" customHeight="1">
      <c r="A387" s="458"/>
      <c r="B387" s="458"/>
      <c r="C387" s="458"/>
      <c r="D387" s="458"/>
      <c r="E387" s="458"/>
      <c r="F387" s="458"/>
    </row>
    <row r="388" ht="15.75" customHeight="1">
      <c r="A388" s="458"/>
      <c r="B388" s="458"/>
      <c r="C388" s="458"/>
      <c r="D388" s="458"/>
      <c r="E388" s="458"/>
      <c r="F388" s="458"/>
    </row>
    <row r="389" ht="15.75" customHeight="1">
      <c r="A389" s="458"/>
      <c r="B389" s="458"/>
      <c r="C389" s="458"/>
      <c r="D389" s="458"/>
      <c r="E389" s="458"/>
      <c r="F389" s="458"/>
    </row>
    <row r="390" ht="15.75" customHeight="1">
      <c r="A390" s="458"/>
      <c r="B390" s="458"/>
      <c r="C390" s="458"/>
      <c r="D390" s="458"/>
      <c r="E390" s="458"/>
      <c r="F390" s="458"/>
    </row>
    <row r="391" ht="15.75" customHeight="1">
      <c r="A391" s="458"/>
      <c r="B391" s="458"/>
      <c r="C391" s="458"/>
      <c r="D391" s="458"/>
      <c r="E391" s="458"/>
      <c r="F391" s="458"/>
    </row>
    <row r="392" ht="15.75" customHeight="1">
      <c r="A392" s="458"/>
      <c r="B392" s="458"/>
      <c r="C392" s="458"/>
      <c r="D392" s="458"/>
      <c r="E392" s="458"/>
      <c r="F392" s="458"/>
    </row>
    <row r="393" ht="15.75" customHeight="1">
      <c r="A393" s="458"/>
      <c r="B393" s="458"/>
      <c r="C393" s="458"/>
      <c r="D393" s="458"/>
      <c r="E393" s="458"/>
      <c r="F393" s="458"/>
    </row>
    <row r="394" ht="15.75" customHeight="1">
      <c r="A394" s="458"/>
      <c r="B394" s="458"/>
      <c r="C394" s="458"/>
      <c r="D394" s="458"/>
      <c r="E394" s="458"/>
      <c r="F394" s="458"/>
    </row>
    <row r="395" ht="15.75" customHeight="1">
      <c r="A395" s="458"/>
      <c r="B395" s="458"/>
      <c r="C395" s="458"/>
      <c r="D395" s="458"/>
      <c r="E395" s="458"/>
      <c r="F395" s="458"/>
    </row>
    <row r="396" ht="15.75" customHeight="1">
      <c r="A396" s="458"/>
      <c r="B396" s="458"/>
      <c r="C396" s="458"/>
      <c r="D396" s="458"/>
      <c r="E396" s="458"/>
      <c r="F396" s="458"/>
    </row>
    <row r="397" ht="15.75" customHeight="1">
      <c r="A397" s="458"/>
      <c r="B397" s="458"/>
      <c r="C397" s="458"/>
      <c r="D397" s="458"/>
      <c r="E397" s="458"/>
      <c r="F397" s="458"/>
    </row>
    <row r="398" ht="15.75" customHeight="1">
      <c r="A398" s="458"/>
      <c r="B398" s="458"/>
      <c r="C398" s="458"/>
      <c r="D398" s="458"/>
      <c r="E398" s="458"/>
      <c r="F398" s="458"/>
    </row>
    <row r="399" ht="15.75" customHeight="1">
      <c r="A399" s="458"/>
      <c r="B399" s="458"/>
      <c r="C399" s="458"/>
      <c r="D399" s="458"/>
      <c r="E399" s="458"/>
      <c r="F399" s="458"/>
    </row>
    <row r="400" ht="15.75" customHeight="1">
      <c r="A400" s="458"/>
      <c r="B400" s="458"/>
      <c r="C400" s="458"/>
      <c r="D400" s="458"/>
      <c r="E400" s="458"/>
      <c r="F400" s="458"/>
    </row>
    <row r="401" ht="15.75" customHeight="1">
      <c r="A401" s="458"/>
      <c r="B401" s="458"/>
      <c r="C401" s="458"/>
      <c r="D401" s="458"/>
      <c r="E401" s="458"/>
      <c r="F401" s="458"/>
    </row>
    <row r="402" ht="15.75" customHeight="1">
      <c r="A402" s="458"/>
      <c r="B402" s="458"/>
      <c r="C402" s="458"/>
      <c r="D402" s="458"/>
      <c r="E402" s="458"/>
      <c r="F402" s="458"/>
    </row>
    <row r="403" ht="15.75" customHeight="1">
      <c r="A403" s="458"/>
      <c r="B403" s="458"/>
      <c r="C403" s="458"/>
      <c r="D403" s="458"/>
      <c r="E403" s="458"/>
      <c r="F403" s="458"/>
    </row>
    <row r="404" ht="15.75" customHeight="1">
      <c r="A404" s="458"/>
      <c r="B404" s="458"/>
      <c r="C404" s="458"/>
      <c r="D404" s="458"/>
      <c r="E404" s="458"/>
      <c r="F404" s="458"/>
    </row>
    <row r="405" ht="15.75" customHeight="1">
      <c r="A405" s="458"/>
      <c r="B405" s="458"/>
      <c r="C405" s="458"/>
      <c r="D405" s="458"/>
      <c r="E405" s="458"/>
      <c r="F405" s="458"/>
    </row>
    <row r="406" ht="15.75" customHeight="1">
      <c r="A406" s="458"/>
      <c r="B406" s="458"/>
      <c r="C406" s="458"/>
      <c r="D406" s="458"/>
      <c r="E406" s="458"/>
      <c r="F406" s="458"/>
    </row>
    <row r="407" ht="15.75" customHeight="1">
      <c r="A407" s="458"/>
      <c r="B407" s="458"/>
      <c r="C407" s="458"/>
      <c r="D407" s="458"/>
      <c r="E407" s="458"/>
      <c r="F407" s="458"/>
    </row>
    <row r="408" ht="15.75" customHeight="1">
      <c r="A408" s="458"/>
      <c r="B408" s="458"/>
      <c r="C408" s="458"/>
      <c r="D408" s="458"/>
      <c r="E408" s="458"/>
      <c r="F408" s="458"/>
    </row>
    <row r="409" ht="15.75" customHeight="1">
      <c r="A409" s="458"/>
      <c r="B409" s="458"/>
      <c r="C409" s="458"/>
      <c r="D409" s="458"/>
      <c r="E409" s="458"/>
      <c r="F409" s="458"/>
    </row>
    <row r="410" ht="15.75" customHeight="1">
      <c r="A410" s="458"/>
      <c r="B410" s="458"/>
      <c r="C410" s="458"/>
      <c r="D410" s="458"/>
      <c r="E410" s="458"/>
      <c r="F410" s="458"/>
    </row>
    <row r="411" ht="15.75" customHeight="1">
      <c r="A411" s="458"/>
      <c r="B411" s="458"/>
      <c r="C411" s="458"/>
      <c r="D411" s="458"/>
      <c r="E411" s="458"/>
      <c r="F411" s="458"/>
    </row>
    <row r="412" ht="15.75" customHeight="1">
      <c r="A412" s="458"/>
      <c r="B412" s="458"/>
      <c r="C412" s="458"/>
      <c r="D412" s="458"/>
      <c r="E412" s="458"/>
      <c r="F412" s="458"/>
    </row>
    <row r="413" ht="15.75" customHeight="1">
      <c r="A413" s="458"/>
      <c r="B413" s="458"/>
      <c r="C413" s="458"/>
      <c r="D413" s="458"/>
      <c r="E413" s="458"/>
      <c r="F413" s="458"/>
    </row>
    <row r="414" ht="15.75" customHeight="1">
      <c r="A414" s="458"/>
      <c r="B414" s="458"/>
      <c r="C414" s="458"/>
      <c r="D414" s="458"/>
      <c r="E414" s="458"/>
      <c r="F414" s="458"/>
    </row>
    <row r="415" ht="15.75" customHeight="1">
      <c r="A415" s="458"/>
      <c r="B415" s="458"/>
      <c r="C415" s="458"/>
      <c r="D415" s="458"/>
      <c r="E415" s="458"/>
      <c r="F415" s="458"/>
    </row>
    <row r="416" ht="15.75" customHeight="1">
      <c r="A416" s="458"/>
      <c r="B416" s="458"/>
      <c r="C416" s="458"/>
      <c r="D416" s="458"/>
      <c r="E416" s="458"/>
      <c r="F416" s="458"/>
    </row>
    <row r="417" ht="15.75" customHeight="1">
      <c r="A417" s="458"/>
      <c r="B417" s="458"/>
      <c r="C417" s="458"/>
      <c r="D417" s="458"/>
      <c r="E417" s="458"/>
      <c r="F417" s="458"/>
    </row>
    <row r="418" ht="15.75" customHeight="1">
      <c r="A418" s="458"/>
      <c r="B418" s="458"/>
      <c r="C418" s="458"/>
      <c r="D418" s="458"/>
      <c r="E418" s="458"/>
      <c r="F418" s="458"/>
    </row>
    <row r="419" ht="15.75" customHeight="1">
      <c r="A419" s="458"/>
      <c r="B419" s="458"/>
      <c r="C419" s="458"/>
      <c r="D419" s="458"/>
      <c r="E419" s="458"/>
      <c r="F419" s="458"/>
    </row>
    <row r="420" ht="15.75" customHeight="1">
      <c r="A420" s="458"/>
      <c r="B420" s="458"/>
      <c r="C420" s="458"/>
      <c r="D420" s="458"/>
      <c r="E420" s="458"/>
      <c r="F420" s="458"/>
    </row>
    <row r="421" ht="15.75" customHeight="1">
      <c r="A421" s="458"/>
      <c r="B421" s="458"/>
      <c r="C421" s="458"/>
      <c r="D421" s="458"/>
      <c r="E421" s="458"/>
      <c r="F421" s="458"/>
    </row>
    <row r="422" ht="15.75" customHeight="1">
      <c r="A422" s="458"/>
      <c r="B422" s="458"/>
      <c r="C422" s="458"/>
      <c r="D422" s="458"/>
      <c r="E422" s="458"/>
      <c r="F422" s="458"/>
    </row>
    <row r="423" ht="15.75" customHeight="1">
      <c r="A423" s="458"/>
      <c r="B423" s="458"/>
      <c r="C423" s="458"/>
      <c r="D423" s="458"/>
      <c r="E423" s="458"/>
      <c r="F423" s="458"/>
    </row>
    <row r="424" ht="15.75" customHeight="1">
      <c r="A424" s="458"/>
      <c r="B424" s="458"/>
      <c r="C424" s="458"/>
      <c r="D424" s="458"/>
      <c r="E424" s="458"/>
      <c r="F424" s="458"/>
    </row>
    <row r="425" ht="15.75" customHeight="1">
      <c r="A425" s="458"/>
      <c r="B425" s="458"/>
      <c r="C425" s="458"/>
      <c r="D425" s="458"/>
      <c r="E425" s="458"/>
      <c r="F425" s="458"/>
    </row>
    <row r="426" ht="15.75" customHeight="1">
      <c r="A426" s="458"/>
      <c r="B426" s="458"/>
      <c r="C426" s="458"/>
      <c r="D426" s="458"/>
      <c r="E426" s="458"/>
      <c r="F426" s="458"/>
    </row>
    <row r="427" ht="15.75" customHeight="1">
      <c r="A427" s="458"/>
      <c r="B427" s="458"/>
      <c r="C427" s="458"/>
      <c r="D427" s="458"/>
      <c r="E427" s="458"/>
      <c r="F427" s="458"/>
    </row>
    <row r="428" ht="15.75" customHeight="1">
      <c r="A428" s="458"/>
      <c r="B428" s="458"/>
      <c r="C428" s="458"/>
      <c r="D428" s="458"/>
      <c r="E428" s="458"/>
      <c r="F428" s="458"/>
    </row>
    <row r="429" ht="15.75" customHeight="1">
      <c r="A429" s="458"/>
      <c r="B429" s="458"/>
      <c r="C429" s="458"/>
      <c r="D429" s="458"/>
      <c r="E429" s="458"/>
      <c r="F429" s="458"/>
    </row>
    <row r="430" ht="15.75" customHeight="1">
      <c r="A430" s="458"/>
      <c r="B430" s="458"/>
      <c r="C430" s="458"/>
      <c r="D430" s="458"/>
      <c r="E430" s="458"/>
      <c r="F430" s="458"/>
    </row>
    <row r="431" ht="15.75" customHeight="1">
      <c r="A431" s="458"/>
      <c r="B431" s="458"/>
      <c r="C431" s="458"/>
      <c r="D431" s="458"/>
      <c r="E431" s="458"/>
      <c r="F431" s="458"/>
    </row>
    <row r="432" ht="15.75" customHeight="1">
      <c r="A432" s="458"/>
      <c r="B432" s="458"/>
      <c r="C432" s="458"/>
      <c r="D432" s="458"/>
      <c r="E432" s="458"/>
      <c r="F432" s="458"/>
    </row>
    <row r="433" ht="15.75" customHeight="1">
      <c r="A433" s="458"/>
      <c r="B433" s="458"/>
      <c r="C433" s="458"/>
      <c r="D433" s="458"/>
      <c r="E433" s="458"/>
      <c r="F433" s="458"/>
    </row>
    <row r="434" ht="15.75" customHeight="1">
      <c r="A434" s="458"/>
      <c r="B434" s="458"/>
      <c r="C434" s="458"/>
      <c r="D434" s="458"/>
      <c r="E434" s="458"/>
      <c r="F434" s="458"/>
    </row>
    <row r="435" ht="15.75" customHeight="1">
      <c r="A435" s="458"/>
      <c r="B435" s="458"/>
      <c r="C435" s="458"/>
      <c r="D435" s="458"/>
      <c r="E435" s="458"/>
      <c r="F435" s="458"/>
    </row>
    <row r="436" ht="15.75" customHeight="1">
      <c r="A436" s="458"/>
      <c r="B436" s="458"/>
      <c r="C436" s="458"/>
      <c r="D436" s="458"/>
      <c r="E436" s="458"/>
      <c r="F436" s="458"/>
    </row>
    <row r="437" ht="15.75" customHeight="1">
      <c r="A437" s="458"/>
      <c r="B437" s="458"/>
      <c r="C437" s="458"/>
      <c r="D437" s="458"/>
      <c r="E437" s="458"/>
      <c r="F437" s="458"/>
    </row>
    <row r="438" ht="15.75" customHeight="1">
      <c r="A438" s="458"/>
      <c r="B438" s="458"/>
      <c r="C438" s="458"/>
      <c r="D438" s="458"/>
      <c r="E438" s="458"/>
      <c r="F438" s="458"/>
    </row>
    <row r="439" ht="15.75" customHeight="1">
      <c r="A439" s="458"/>
      <c r="B439" s="458"/>
      <c r="C439" s="458"/>
      <c r="D439" s="458"/>
      <c r="E439" s="458"/>
      <c r="F439" s="458"/>
    </row>
    <row r="440" ht="15.75" customHeight="1">
      <c r="A440" s="458"/>
      <c r="B440" s="458"/>
      <c r="C440" s="458"/>
      <c r="D440" s="458"/>
      <c r="E440" s="458"/>
      <c r="F440" s="458"/>
    </row>
    <row r="441" ht="15.75" customHeight="1">
      <c r="A441" s="458"/>
      <c r="B441" s="458"/>
      <c r="C441" s="458"/>
      <c r="D441" s="458"/>
      <c r="E441" s="458"/>
      <c r="F441" s="458"/>
    </row>
    <row r="442" ht="15.75" customHeight="1">
      <c r="A442" s="458"/>
      <c r="B442" s="458"/>
      <c r="C442" s="458"/>
      <c r="D442" s="458"/>
      <c r="E442" s="458"/>
      <c r="F442" s="458"/>
    </row>
    <row r="443" ht="15.75" customHeight="1">
      <c r="A443" s="458"/>
      <c r="B443" s="458"/>
      <c r="C443" s="458"/>
      <c r="D443" s="458"/>
      <c r="E443" s="458"/>
      <c r="F443" s="458"/>
    </row>
    <row r="444" ht="15.75" customHeight="1">
      <c r="A444" s="458"/>
      <c r="B444" s="458"/>
      <c r="C444" s="458"/>
      <c r="D444" s="458"/>
      <c r="E444" s="458"/>
      <c r="F444" s="458"/>
    </row>
    <row r="445" ht="15.75" customHeight="1">
      <c r="A445" s="458"/>
      <c r="B445" s="458"/>
      <c r="C445" s="458"/>
      <c r="D445" s="458"/>
      <c r="E445" s="458"/>
      <c r="F445" s="458"/>
    </row>
    <row r="446" ht="15.75" customHeight="1">
      <c r="A446" s="458"/>
      <c r="B446" s="458"/>
      <c r="C446" s="458"/>
      <c r="D446" s="458"/>
      <c r="E446" s="458"/>
      <c r="F446" s="458"/>
    </row>
    <row r="447" ht="15.75" customHeight="1">
      <c r="A447" s="458"/>
      <c r="B447" s="458"/>
      <c r="C447" s="458"/>
      <c r="D447" s="458"/>
      <c r="E447" s="458"/>
      <c r="F447" s="458"/>
    </row>
    <row r="448" ht="15.75" customHeight="1">
      <c r="A448" s="458"/>
      <c r="B448" s="458"/>
      <c r="C448" s="458"/>
      <c r="D448" s="458"/>
      <c r="E448" s="458"/>
      <c r="F448" s="458"/>
    </row>
    <row r="449" ht="15.75" customHeight="1">
      <c r="A449" s="458"/>
      <c r="B449" s="458"/>
      <c r="C449" s="458"/>
      <c r="D449" s="458"/>
      <c r="E449" s="458"/>
      <c r="F449" s="458"/>
    </row>
    <row r="450" ht="15.75" customHeight="1">
      <c r="A450" s="458"/>
      <c r="B450" s="458"/>
      <c r="C450" s="458"/>
      <c r="D450" s="458"/>
      <c r="E450" s="458"/>
      <c r="F450" s="458"/>
    </row>
    <row r="451" ht="15.75" customHeight="1">
      <c r="A451" s="458"/>
      <c r="B451" s="458"/>
      <c r="C451" s="458"/>
      <c r="D451" s="458"/>
      <c r="E451" s="458"/>
      <c r="F451" s="458"/>
    </row>
    <row r="452" ht="15.75" customHeight="1">
      <c r="A452" s="458"/>
      <c r="B452" s="458"/>
      <c r="C452" s="458"/>
      <c r="D452" s="458"/>
      <c r="E452" s="458"/>
      <c r="F452" s="458"/>
    </row>
    <row r="453" ht="15.75" customHeight="1">
      <c r="A453" s="458"/>
      <c r="B453" s="458"/>
      <c r="C453" s="458"/>
      <c r="D453" s="458"/>
      <c r="E453" s="458"/>
      <c r="F453" s="458"/>
    </row>
    <row r="454" ht="15.75" customHeight="1">
      <c r="A454" s="458"/>
      <c r="B454" s="458"/>
      <c r="C454" s="458"/>
      <c r="D454" s="458"/>
      <c r="E454" s="458"/>
      <c r="F454" s="458"/>
    </row>
    <row r="455" ht="15.75" customHeight="1">
      <c r="A455" s="458"/>
      <c r="B455" s="458"/>
      <c r="C455" s="458"/>
      <c r="D455" s="458"/>
      <c r="E455" s="458"/>
      <c r="F455" s="458"/>
    </row>
    <row r="456" ht="15.75" customHeight="1">
      <c r="A456" s="458"/>
      <c r="B456" s="458"/>
      <c r="C456" s="458"/>
      <c r="D456" s="458"/>
      <c r="E456" s="458"/>
      <c r="F456" s="458"/>
    </row>
    <row r="457" ht="15.75" customHeight="1">
      <c r="A457" s="458"/>
      <c r="B457" s="458"/>
      <c r="C457" s="458"/>
      <c r="D457" s="458"/>
      <c r="E457" s="458"/>
      <c r="F457" s="458"/>
    </row>
    <row r="458" ht="15.75" customHeight="1">
      <c r="A458" s="458"/>
      <c r="B458" s="458"/>
      <c r="C458" s="458"/>
      <c r="D458" s="458"/>
      <c r="E458" s="458"/>
      <c r="F458" s="458"/>
    </row>
    <row r="459" ht="15.75" customHeight="1">
      <c r="A459" s="458"/>
      <c r="B459" s="458"/>
      <c r="C459" s="458"/>
      <c r="D459" s="458"/>
      <c r="E459" s="458"/>
      <c r="F459" s="458"/>
    </row>
    <row r="460" ht="15.75" customHeight="1">
      <c r="A460" s="458"/>
      <c r="B460" s="458"/>
      <c r="C460" s="458"/>
      <c r="D460" s="458"/>
      <c r="E460" s="458"/>
      <c r="F460" s="458"/>
    </row>
    <row r="461" ht="15.75" customHeight="1">
      <c r="A461" s="458"/>
      <c r="B461" s="458"/>
      <c r="C461" s="458"/>
      <c r="D461" s="458"/>
      <c r="E461" s="458"/>
      <c r="F461" s="458"/>
    </row>
    <row r="462" ht="15.75" customHeight="1">
      <c r="A462" s="458"/>
      <c r="B462" s="458"/>
      <c r="C462" s="458"/>
      <c r="D462" s="458"/>
      <c r="E462" s="458"/>
      <c r="F462" s="458"/>
    </row>
    <row r="463" ht="15.75" customHeight="1">
      <c r="A463" s="458"/>
      <c r="B463" s="458"/>
      <c r="C463" s="458"/>
      <c r="D463" s="458"/>
      <c r="E463" s="458"/>
      <c r="F463" s="458"/>
    </row>
    <row r="464" ht="15.75" customHeight="1">
      <c r="A464" s="458"/>
      <c r="B464" s="458"/>
      <c r="C464" s="458"/>
      <c r="D464" s="458"/>
      <c r="E464" s="458"/>
      <c r="F464" s="458"/>
    </row>
    <row r="465" ht="15.75" customHeight="1">
      <c r="A465" s="458"/>
      <c r="B465" s="458"/>
      <c r="C465" s="458"/>
      <c r="D465" s="458"/>
      <c r="E465" s="458"/>
      <c r="F465" s="458"/>
    </row>
    <row r="466" ht="15.75" customHeight="1">
      <c r="A466" s="458"/>
      <c r="B466" s="458"/>
      <c r="C466" s="458"/>
      <c r="D466" s="458"/>
      <c r="E466" s="458"/>
      <c r="F466" s="458"/>
    </row>
    <row r="467" ht="15.75" customHeight="1">
      <c r="A467" s="458"/>
      <c r="B467" s="458"/>
      <c r="C467" s="458"/>
      <c r="D467" s="458"/>
      <c r="E467" s="458"/>
      <c r="F467" s="458"/>
    </row>
    <row r="468" ht="15.75" customHeight="1">
      <c r="A468" s="458"/>
      <c r="B468" s="458"/>
      <c r="C468" s="458"/>
      <c r="D468" s="458"/>
      <c r="E468" s="458"/>
      <c r="F468" s="458"/>
    </row>
    <row r="469" ht="15.75" customHeight="1">
      <c r="A469" s="458"/>
      <c r="B469" s="458"/>
      <c r="C469" s="458"/>
      <c r="D469" s="458"/>
      <c r="E469" s="458"/>
      <c r="F469" s="458"/>
    </row>
    <row r="470" ht="15.75" customHeight="1">
      <c r="A470" s="458"/>
      <c r="B470" s="458"/>
      <c r="C470" s="458"/>
      <c r="D470" s="458"/>
      <c r="E470" s="458"/>
      <c r="F470" s="458"/>
    </row>
    <row r="471" ht="15.75" customHeight="1">
      <c r="A471" s="458"/>
      <c r="B471" s="458"/>
      <c r="C471" s="458"/>
      <c r="D471" s="458"/>
      <c r="E471" s="458"/>
      <c r="F471" s="458"/>
    </row>
    <row r="472" ht="15.75" customHeight="1">
      <c r="A472" s="458"/>
      <c r="B472" s="458"/>
      <c r="C472" s="458"/>
      <c r="D472" s="458"/>
      <c r="E472" s="458"/>
      <c r="F472" s="458"/>
    </row>
    <row r="473" ht="15.75" customHeight="1">
      <c r="A473" s="458"/>
      <c r="B473" s="458"/>
      <c r="C473" s="458"/>
      <c r="D473" s="458"/>
      <c r="E473" s="458"/>
      <c r="F473" s="458"/>
    </row>
    <row r="474" ht="15.75" customHeight="1">
      <c r="A474" s="458"/>
      <c r="B474" s="458"/>
      <c r="C474" s="458"/>
      <c r="D474" s="458"/>
      <c r="E474" s="458"/>
      <c r="F474" s="458"/>
    </row>
    <row r="475" ht="15.75" customHeight="1">
      <c r="A475" s="458"/>
      <c r="B475" s="458"/>
      <c r="C475" s="458"/>
      <c r="D475" s="458"/>
      <c r="E475" s="458"/>
      <c r="F475" s="458"/>
    </row>
    <row r="476" ht="15.75" customHeight="1">
      <c r="A476" s="458"/>
      <c r="B476" s="458"/>
      <c r="C476" s="458"/>
      <c r="D476" s="458"/>
      <c r="E476" s="458"/>
      <c r="F476" s="458"/>
    </row>
    <row r="477" ht="15.75" customHeight="1">
      <c r="A477" s="458"/>
      <c r="B477" s="458"/>
      <c r="C477" s="458"/>
      <c r="D477" s="458"/>
      <c r="E477" s="458"/>
      <c r="F477" s="458"/>
    </row>
    <row r="478" ht="15.75" customHeight="1">
      <c r="A478" s="458"/>
      <c r="B478" s="458"/>
      <c r="C478" s="458"/>
      <c r="D478" s="458"/>
      <c r="E478" s="458"/>
      <c r="F478" s="458"/>
    </row>
    <row r="479" ht="15.75" customHeight="1">
      <c r="A479" s="458"/>
      <c r="B479" s="458"/>
      <c r="C479" s="458"/>
      <c r="D479" s="458"/>
      <c r="E479" s="458"/>
      <c r="F479" s="458"/>
    </row>
    <row r="480" ht="15.75" customHeight="1">
      <c r="A480" s="458"/>
      <c r="B480" s="458"/>
      <c r="C480" s="458"/>
      <c r="D480" s="458"/>
      <c r="E480" s="458"/>
      <c r="F480" s="458"/>
    </row>
    <row r="481" ht="15.75" customHeight="1">
      <c r="A481" s="458"/>
      <c r="B481" s="458"/>
      <c r="C481" s="458"/>
      <c r="D481" s="458"/>
      <c r="E481" s="458"/>
      <c r="F481" s="458"/>
    </row>
    <row r="482" ht="15.75" customHeight="1">
      <c r="A482" s="458"/>
      <c r="B482" s="458"/>
      <c r="C482" s="458"/>
      <c r="D482" s="458"/>
      <c r="E482" s="458"/>
      <c r="F482" s="458"/>
    </row>
    <row r="483" ht="15.75" customHeight="1">
      <c r="A483" s="458"/>
      <c r="B483" s="458"/>
      <c r="C483" s="458"/>
      <c r="D483" s="458"/>
      <c r="E483" s="458"/>
      <c r="F483" s="458"/>
    </row>
    <row r="484" ht="15.75" customHeight="1">
      <c r="A484" s="458"/>
      <c r="B484" s="458"/>
      <c r="C484" s="458"/>
      <c r="D484" s="458"/>
      <c r="E484" s="458"/>
      <c r="F484" s="458"/>
    </row>
    <row r="485" ht="15.75" customHeight="1">
      <c r="A485" s="458"/>
      <c r="B485" s="458"/>
      <c r="C485" s="458"/>
      <c r="D485" s="458"/>
      <c r="E485" s="458"/>
      <c r="F485" s="458"/>
    </row>
    <row r="486" ht="15.75" customHeight="1">
      <c r="A486" s="458"/>
      <c r="B486" s="458"/>
      <c r="C486" s="458"/>
      <c r="D486" s="458"/>
      <c r="E486" s="458"/>
      <c r="F486" s="458"/>
    </row>
    <row r="487" ht="15.75" customHeight="1">
      <c r="A487" s="458"/>
      <c r="B487" s="458"/>
      <c r="C487" s="458"/>
      <c r="D487" s="458"/>
      <c r="E487" s="458"/>
      <c r="F487" s="458"/>
    </row>
    <row r="488" ht="15.75" customHeight="1">
      <c r="A488" s="458"/>
      <c r="B488" s="458"/>
      <c r="C488" s="458"/>
      <c r="D488" s="458"/>
      <c r="E488" s="458"/>
      <c r="F488" s="458"/>
    </row>
    <row r="489" ht="15.75" customHeight="1">
      <c r="A489" s="458"/>
      <c r="B489" s="458"/>
      <c r="C489" s="458"/>
      <c r="D489" s="458"/>
      <c r="E489" s="458"/>
      <c r="F489" s="458"/>
    </row>
    <row r="490" ht="15.75" customHeight="1">
      <c r="A490" s="458"/>
      <c r="B490" s="458"/>
      <c r="C490" s="458"/>
      <c r="D490" s="458"/>
      <c r="E490" s="458"/>
      <c r="F490" s="458"/>
    </row>
    <row r="491" ht="15.75" customHeight="1">
      <c r="A491" s="458"/>
      <c r="B491" s="458"/>
      <c r="C491" s="458"/>
      <c r="D491" s="458"/>
      <c r="E491" s="458"/>
      <c r="F491" s="458"/>
    </row>
    <row r="492" ht="15.75" customHeight="1">
      <c r="A492" s="458"/>
      <c r="B492" s="458"/>
      <c r="C492" s="458"/>
      <c r="D492" s="458"/>
      <c r="E492" s="458"/>
      <c r="F492" s="458"/>
    </row>
    <row r="493" ht="15.75" customHeight="1">
      <c r="A493" s="458"/>
      <c r="B493" s="458"/>
      <c r="C493" s="458"/>
      <c r="D493" s="458"/>
      <c r="E493" s="458"/>
      <c r="F493" s="458"/>
    </row>
    <row r="494" ht="15.75" customHeight="1">
      <c r="A494" s="458"/>
      <c r="B494" s="458"/>
      <c r="C494" s="458"/>
      <c r="D494" s="458"/>
      <c r="E494" s="458"/>
      <c r="F494" s="458"/>
    </row>
    <row r="495" ht="15.75" customHeight="1">
      <c r="A495" s="458"/>
      <c r="B495" s="458"/>
      <c r="C495" s="458"/>
      <c r="D495" s="458"/>
      <c r="E495" s="458"/>
      <c r="F495" s="458"/>
    </row>
    <row r="496" ht="15.75" customHeight="1">
      <c r="A496" s="458"/>
      <c r="B496" s="458"/>
      <c r="C496" s="458"/>
      <c r="D496" s="458"/>
      <c r="E496" s="458"/>
      <c r="F496" s="458"/>
    </row>
    <row r="497" ht="15.75" customHeight="1">
      <c r="A497" s="458"/>
      <c r="B497" s="458"/>
      <c r="C497" s="458"/>
      <c r="D497" s="458"/>
      <c r="E497" s="458"/>
      <c r="F497" s="458"/>
    </row>
    <row r="498" ht="15.75" customHeight="1">
      <c r="A498" s="458"/>
      <c r="B498" s="458"/>
      <c r="C498" s="458"/>
      <c r="D498" s="458"/>
      <c r="E498" s="458"/>
      <c r="F498" s="458"/>
    </row>
    <row r="499" ht="15.75" customHeight="1">
      <c r="A499" s="458"/>
      <c r="B499" s="458"/>
      <c r="C499" s="458"/>
      <c r="D499" s="458"/>
      <c r="E499" s="458"/>
      <c r="F499" s="458"/>
    </row>
    <row r="500" ht="15.75" customHeight="1">
      <c r="A500" s="458"/>
      <c r="B500" s="458"/>
      <c r="C500" s="458"/>
      <c r="D500" s="458"/>
      <c r="E500" s="458"/>
      <c r="F500" s="458"/>
    </row>
    <row r="501" ht="15.75" customHeight="1">
      <c r="A501" s="458"/>
      <c r="B501" s="458"/>
      <c r="C501" s="458"/>
      <c r="D501" s="458"/>
      <c r="E501" s="458"/>
      <c r="F501" s="458"/>
    </row>
    <row r="502" ht="15.75" customHeight="1">
      <c r="A502" s="458"/>
      <c r="B502" s="458"/>
      <c r="C502" s="458"/>
      <c r="D502" s="458"/>
      <c r="E502" s="458"/>
      <c r="F502" s="458"/>
    </row>
    <row r="503" ht="15.75" customHeight="1">
      <c r="A503" s="458"/>
      <c r="B503" s="458"/>
      <c r="C503" s="458"/>
      <c r="D503" s="458"/>
      <c r="E503" s="458"/>
      <c r="F503" s="458"/>
    </row>
    <row r="504" ht="15.75" customHeight="1">
      <c r="A504" s="458"/>
      <c r="B504" s="458"/>
      <c r="C504" s="458"/>
      <c r="D504" s="458"/>
      <c r="E504" s="458"/>
      <c r="F504" s="458"/>
    </row>
    <row r="505" ht="15.75" customHeight="1">
      <c r="A505" s="458"/>
      <c r="B505" s="458"/>
      <c r="C505" s="458"/>
      <c r="D505" s="458"/>
      <c r="E505" s="458"/>
      <c r="F505" s="458"/>
    </row>
    <row r="506" ht="15.75" customHeight="1">
      <c r="A506" s="458"/>
      <c r="B506" s="458"/>
      <c r="C506" s="458"/>
      <c r="D506" s="458"/>
      <c r="E506" s="458"/>
      <c r="F506" s="458"/>
    </row>
    <row r="507" ht="15.75" customHeight="1">
      <c r="A507" s="458"/>
      <c r="B507" s="458"/>
      <c r="C507" s="458"/>
      <c r="D507" s="458"/>
      <c r="E507" s="458"/>
      <c r="F507" s="458"/>
    </row>
    <row r="508" ht="15.75" customHeight="1">
      <c r="A508" s="458"/>
      <c r="B508" s="458"/>
      <c r="C508" s="458"/>
      <c r="D508" s="458"/>
      <c r="E508" s="458"/>
      <c r="F508" s="458"/>
    </row>
    <row r="509" ht="15.75" customHeight="1">
      <c r="A509" s="458"/>
      <c r="B509" s="458"/>
      <c r="C509" s="458"/>
      <c r="D509" s="458"/>
      <c r="E509" s="458"/>
      <c r="F509" s="458"/>
    </row>
    <row r="510" ht="15.75" customHeight="1">
      <c r="A510" s="458"/>
      <c r="B510" s="458"/>
      <c r="C510" s="458"/>
      <c r="D510" s="458"/>
      <c r="E510" s="458"/>
      <c r="F510" s="458"/>
    </row>
    <row r="511" ht="15.75" customHeight="1">
      <c r="A511" s="458"/>
      <c r="B511" s="458"/>
      <c r="C511" s="458"/>
      <c r="D511" s="458"/>
      <c r="E511" s="458"/>
      <c r="F511" s="458"/>
    </row>
    <row r="512" ht="15.75" customHeight="1">
      <c r="A512" s="458"/>
      <c r="B512" s="458"/>
      <c r="C512" s="458"/>
      <c r="D512" s="458"/>
      <c r="E512" s="458"/>
      <c r="F512" s="458"/>
    </row>
    <row r="513" ht="15.75" customHeight="1">
      <c r="A513" s="458"/>
      <c r="B513" s="458"/>
      <c r="C513" s="458"/>
      <c r="D513" s="458"/>
      <c r="E513" s="458"/>
      <c r="F513" s="458"/>
    </row>
    <row r="514" ht="15.75" customHeight="1">
      <c r="A514" s="458"/>
      <c r="B514" s="458"/>
      <c r="C514" s="458"/>
      <c r="D514" s="458"/>
      <c r="E514" s="458"/>
      <c r="F514" s="458"/>
    </row>
    <row r="515" ht="15.75" customHeight="1">
      <c r="A515" s="458"/>
      <c r="B515" s="458"/>
      <c r="C515" s="458"/>
      <c r="D515" s="458"/>
      <c r="E515" s="458"/>
      <c r="F515" s="458"/>
    </row>
    <row r="516" ht="15.75" customHeight="1">
      <c r="A516" s="458"/>
      <c r="B516" s="458"/>
      <c r="C516" s="458"/>
      <c r="D516" s="458"/>
      <c r="E516" s="458"/>
      <c r="F516" s="458"/>
    </row>
    <row r="517" ht="15.75" customHeight="1">
      <c r="A517" s="458"/>
      <c r="B517" s="458"/>
      <c r="C517" s="458"/>
      <c r="D517" s="458"/>
      <c r="E517" s="458"/>
      <c r="F517" s="458"/>
    </row>
    <row r="518" ht="15.75" customHeight="1">
      <c r="A518" s="458"/>
      <c r="B518" s="458"/>
      <c r="C518" s="458"/>
      <c r="D518" s="458"/>
      <c r="E518" s="458"/>
      <c r="F518" s="458"/>
    </row>
    <row r="519" ht="15.75" customHeight="1">
      <c r="A519" s="458"/>
      <c r="B519" s="458"/>
      <c r="C519" s="458"/>
      <c r="D519" s="458"/>
      <c r="E519" s="458"/>
      <c r="F519" s="458"/>
    </row>
    <row r="520" ht="15.75" customHeight="1">
      <c r="A520" s="458"/>
      <c r="B520" s="458"/>
      <c r="C520" s="458"/>
      <c r="D520" s="458"/>
      <c r="E520" s="458"/>
      <c r="F520" s="458"/>
    </row>
    <row r="521" ht="15.75" customHeight="1">
      <c r="A521" s="458"/>
      <c r="B521" s="458"/>
      <c r="C521" s="458"/>
      <c r="D521" s="458"/>
      <c r="E521" s="458"/>
      <c r="F521" s="458"/>
    </row>
    <row r="522" ht="15.75" customHeight="1">
      <c r="A522" s="458"/>
      <c r="B522" s="458"/>
      <c r="C522" s="458"/>
      <c r="D522" s="458"/>
      <c r="E522" s="458"/>
      <c r="F522" s="458"/>
    </row>
    <row r="523" ht="15.75" customHeight="1">
      <c r="A523" s="458"/>
      <c r="B523" s="458"/>
      <c r="C523" s="458"/>
      <c r="D523" s="458"/>
      <c r="E523" s="458"/>
      <c r="F523" s="458"/>
    </row>
    <row r="524" ht="15.75" customHeight="1">
      <c r="A524" s="458"/>
      <c r="B524" s="458"/>
      <c r="C524" s="458"/>
      <c r="D524" s="458"/>
      <c r="E524" s="458"/>
      <c r="F524" s="458"/>
    </row>
    <row r="525" ht="15.75" customHeight="1">
      <c r="A525" s="458"/>
      <c r="B525" s="458"/>
      <c r="C525" s="458"/>
      <c r="D525" s="458"/>
      <c r="E525" s="458"/>
      <c r="F525" s="458"/>
    </row>
    <row r="526" ht="15.75" customHeight="1">
      <c r="A526" s="458"/>
      <c r="B526" s="458"/>
      <c r="C526" s="458"/>
      <c r="D526" s="458"/>
      <c r="E526" s="458"/>
      <c r="F526" s="458"/>
    </row>
    <row r="527" ht="15.75" customHeight="1">
      <c r="A527" s="458"/>
      <c r="B527" s="458"/>
      <c r="C527" s="458"/>
      <c r="D527" s="458"/>
      <c r="E527" s="458"/>
      <c r="F527" s="458"/>
    </row>
    <row r="528" ht="15.75" customHeight="1">
      <c r="A528" s="458"/>
      <c r="B528" s="458"/>
      <c r="C528" s="458"/>
      <c r="D528" s="458"/>
      <c r="E528" s="458"/>
      <c r="F528" s="458"/>
    </row>
    <row r="529" ht="15.75" customHeight="1">
      <c r="A529" s="458"/>
      <c r="B529" s="458"/>
      <c r="C529" s="458"/>
      <c r="D529" s="458"/>
      <c r="E529" s="458"/>
      <c r="F529" s="458"/>
    </row>
    <row r="530" ht="15.75" customHeight="1">
      <c r="A530" s="458"/>
      <c r="B530" s="458"/>
      <c r="C530" s="458"/>
      <c r="D530" s="458"/>
      <c r="E530" s="458"/>
      <c r="F530" s="458"/>
    </row>
    <row r="531" ht="15.75" customHeight="1">
      <c r="A531" s="458"/>
      <c r="B531" s="458"/>
      <c r="C531" s="458"/>
      <c r="D531" s="458"/>
      <c r="E531" s="458"/>
      <c r="F531" s="458"/>
    </row>
    <row r="532" ht="15.75" customHeight="1">
      <c r="A532" s="458"/>
      <c r="B532" s="458"/>
      <c r="C532" s="458"/>
      <c r="D532" s="458"/>
      <c r="E532" s="458"/>
      <c r="F532" s="458"/>
    </row>
    <row r="533" ht="15.75" customHeight="1">
      <c r="A533" s="458"/>
      <c r="B533" s="458"/>
      <c r="C533" s="458"/>
      <c r="D533" s="458"/>
      <c r="E533" s="458"/>
      <c r="F533" s="458"/>
    </row>
    <row r="534" ht="15.75" customHeight="1">
      <c r="A534" s="458"/>
      <c r="B534" s="458"/>
      <c r="C534" s="458"/>
      <c r="D534" s="458"/>
      <c r="E534" s="458"/>
      <c r="F534" s="458"/>
    </row>
    <row r="535" ht="15.75" customHeight="1">
      <c r="A535" s="458"/>
      <c r="B535" s="458"/>
      <c r="C535" s="458"/>
      <c r="D535" s="458"/>
      <c r="E535" s="458"/>
      <c r="F535" s="458"/>
    </row>
    <row r="536" ht="15.75" customHeight="1">
      <c r="A536" s="458"/>
      <c r="B536" s="458"/>
      <c r="C536" s="458"/>
      <c r="D536" s="458"/>
      <c r="E536" s="458"/>
      <c r="F536" s="458"/>
    </row>
    <row r="537" ht="15.75" customHeight="1">
      <c r="A537" s="458"/>
      <c r="B537" s="458"/>
      <c r="C537" s="458"/>
      <c r="D537" s="458"/>
      <c r="E537" s="458"/>
      <c r="F537" s="458"/>
    </row>
    <row r="538" ht="15.75" customHeight="1">
      <c r="A538" s="458"/>
      <c r="B538" s="458"/>
      <c r="C538" s="458"/>
      <c r="D538" s="458"/>
      <c r="E538" s="458"/>
      <c r="F538" s="458"/>
    </row>
    <row r="539" ht="15.75" customHeight="1">
      <c r="A539" s="458"/>
      <c r="B539" s="458"/>
      <c r="C539" s="458"/>
      <c r="D539" s="458"/>
      <c r="E539" s="458"/>
      <c r="F539" s="458"/>
    </row>
    <row r="540" ht="15.75" customHeight="1">
      <c r="A540" s="458"/>
      <c r="B540" s="458"/>
      <c r="C540" s="458"/>
      <c r="D540" s="458"/>
      <c r="E540" s="458"/>
      <c r="F540" s="458"/>
    </row>
    <row r="541" ht="15.75" customHeight="1">
      <c r="A541" s="458"/>
      <c r="B541" s="458"/>
      <c r="C541" s="458"/>
      <c r="D541" s="458"/>
      <c r="E541" s="458"/>
      <c r="F541" s="458"/>
    </row>
    <row r="542" ht="15.75" customHeight="1">
      <c r="A542" s="458"/>
      <c r="B542" s="458"/>
      <c r="C542" s="458"/>
      <c r="D542" s="458"/>
      <c r="E542" s="458"/>
      <c r="F542" s="458"/>
    </row>
    <row r="543" ht="15.75" customHeight="1">
      <c r="A543" s="458"/>
      <c r="B543" s="458"/>
      <c r="C543" s="458"/>
      <c r="D543" s="458"/>
      <c r="E543" s="458"/>
      <c r="F543" s="458"/>
    </row>
    <row r="544" ht="15.75" customHeight="1">
      <c r="A544" s="458"/>
      <c r="B544" s="458"/>
      <c r="C544" s="458"/>
      <c r="D544" s="458"/>
      <c r="E544" s="458"/>
      <c r="F544" s="458"/>
    </row>
    <row r="545" ht="15.75" customHeight="1">
      <c r="A545" s="458"/>
      <c r="B545" s="458"/>
      <c r="C545" s="458"/>
      <c r="D545" s="458"/>
      <c r="E545" s="458"/>
      <c r="F545" s="458"/>
    </row>
    <row r="546" ht="15.75" customHeight="1">
      <c r="A546" s="458"/>
      <c r="B546" s="458"/>
      <c r="C546" s="458"/>
      <c r="D546" s="458"/>
      <c r="E546" s="458"/>
      <c r="F546" s="458"/>
    </row>
    <row r="547" ht="15.75" customHeight="1">
      <c r="A547" s="458"/>
      <c r="B547" s="458"/>
      <c r="C547" s="458"/>
      <c r="D547" s="458"/>
      <c r="E547" s="458"/>
      <c r="F547" s="458"/>
    </row>
    <row r="548" ht="15.75" customHeight="1">
      <c r="A548" s="458"/>
      <c r="B548" s="458"/>
      <c r="C548" s="458"/>
      <c r="D548" s="458"/>
      <c r="E548" s="458"/>
      <c r="F548" s="458"/>
    </row>
    <row r="549" ht="15.75" customHeight="1">
      <c r="A549" s="458"/>
      <c r="B549" s="458"/>
      <c r="C549" s="458"/>
      <c r="D549" s="458"/>
      <c r="E549" s="458"/>
      <c r="F549" s="458"/>
    </row>
    <row r="550" ht="15.75" customHeight="1">
      <c r="A550" s="458"/>
      <c r="B550" s="458"/>
      <c r="C550" s="458"/>
      <c r="D550" s="458"/>
      <c r="E550" s="458"/>
      <c r="F550" s="458"/>
    </row>
    <row r="551" ht="15.75" customHeight="1">
      <c r="A551" s="458"/>
      <c r="B551" s="458"/>
      <c r="C551" s="458"/>
      <c r="D551" s="458"/>
      <c r="E551" s="458"/>
      <c r="F551" s="458"/>
    </row>
    <row r="552" ht="15.75" customHeight="1">
      <c r="A552" s="458"/>
      <c r="B552" s="458"/>
      <c r="C552" s="458"/>
      <c r="D552" s="458"/>
      <c r="E552" s="458"/>
      <c r="F552" s="458"/>
    </row>
    <row r="553" ht="15.75" customHeight="1">
      <c r="A553" s="458"/>
      <c r="B553" s="458"/>
      <c r="C553" s="458"/>
      <c r="D553" s="458"/>
      <c r="E553" s="458"/>
      <c r="F553" s="458"/>
    </row>
    <row r="554" ht="15.75" customHeight="1">
      <c r="A554" s="458"/>
      <c r="B554" s="458"/>
      <c r="C554" s="458"/>
      <c r="D554" s="458"/>
      <c r="E554" s="458"/>
      <c r="F554" s="458"/>
    </row>
    <row r="555" ht="15.75" customHeight="1">
      <c r="A555" s="458"/>
      <c r="B555" s="458"/>
      <c r="C555" s="458"/>
      <c r="D555" s="458"/>
      <c r="E555" s="458"/>
      <c r="F555" s="458"/>
    </row>
    <row r="556" ht="15.75" customHeight="1">
      <c r="A556" s="458"/>
      <c r="B556" s="458"/>
      <c r="C556" s="458"/>
      <c r="D556" s="458"/>
      <c r="E556" s="458"/>
      <c r="F556" s="458"/>
    </row>
    <row r="557" ht="15.75" customHeight="1">
      <c r="A557" s="458"/>
      <c r="B557" s="458"/>
      <c r="C557" s="458"/>
      <c r="D557" s="458"/>
      <c r="E557" s="458"/>
      <c r="F557" s="458"/>
    </row>
    <row r="558" ht="15.75" customHeight="1">
      <c r="A558" s="458"/>
      <c r="B558" s="458"/>
      <c r="C558" s="458"/>
      <c r="D558" s="458"/>
      <c r="E558" s="458"/>
      <c r="F558" s="458"/>
    </row>
    <row r="559" ht="15.75" customHeight="1">
      <c r="A559" s="458"/>
      <c r="B559" s="458"/>
      <c r="C559" s="458"/>
      <c r="D559" s="458"/>
      <c r="E559" s="458"/>
      <c r="F559" s="458"/>
    </row>
    <row r="560" ht="15.75" customHeight="1">
      <c r="A560" s="458"/>
      <c r="B560" s="458"/>
      <c r="C560" s="458"/>
      <c r="D560" s="458"/>
      <c r="E560" s="458"/>
      <c r="F560" s="458"/>
    </row>
    <row r="561" ht="15.75" customHeight="1">
      <c r="A561" s="458"/>
      <c r="B561" s="458"/>
      <c r="C561" s="458"/>
      <c r="D561" s="458"/>
      <c r="E561" s="458"/>
      <c r="F561" s="458"/>
    </row>
    <row r="562" ht="15.75" customHeight="1">
      <c r="A562" s="458"/>
      <c r="B562" s="458"/>
      <c r="C562" s="458"/>
      <c r="D562" s="458"/>
      <c r="E562" s="458"/>
      <c r="F562" s="458"/>
    </row>
    <row r="563" ht="15.75" customHeight="1">
      <c r="A563" s="458"/>
      <c r="B563" s="458"/>
      <c r="C563" s="458"/>
      <c r="D563" s="458"/>
      <c r="E563" s="458"/>
      <c r="F563" s="458"/>
    </row>
    <row r="564" ht="15.75" customHeight="1">
      <c r="A564" s="458"/>
      <c r="B564" s="458"/>
      <c r="C564" s="458"/>
      <c r="D564" s="458"/>
      <c r="E564" s="458"/>
      <c r="F564" s="458"/>
    </row>
    <row r="565" ht="15.75" customHeight="1">
      <c r="A565" s="458"/>
      <c r="B565" s="458"/>
      <c r="C565" s="458"/>
      <c r="D565" s="458"/>
      <c r="E565" s="458"/>
      <c r="F565" s="458"/>
    </row>
    <row r="566" ht="15.75" customHeight="1">
      <c r="A566" s="458"/>
      <c r="B566" s="458"/>
      <c r="C566" s="458"/>
      <c r="D566" s="458"/>
      <c r="E566" s="458"/>
      <c r="F566" s="458"/>
    </row>
    <row r="567" ht="15.75" customHeight="1">
      <c r="A567" s="458"/>
      <c r="B567" s="458"/>
      <c r="C567" s="458"/>
      <c r="D567" s="458"/>
      <c r="E567" s="458"/>
      <c r="F567" s="458"/>
    </row>
    <row r="568" ht="15.75" customHeight="1">
      <c r="A568" s="458"/>
      <c r="B568" s="458"/>
      <c r="C568" s="458"/>
      <c r="D568" s="458"/>
      <c r="E568" s="458"/>
      <c r="F568" s="458"/>
    </row>
    <row r="569" ht="15.75" customHeight="1">
      <c r="A569" s="458"/>
      <c r="B569" s="458"/>
      <c r="C569" s="458"/>
      <c r="D569" s="458"/>
      <c r="E569" s="458"/>
      <c r="F569" s="458"/>
    </row>
    <row r="570" ht="15.75" customHeight="1">
      <c r="A570" s="458"/>
      <c r="B570" s="458"/>
      <c r="C570" s="458"/>
      <c r="D570" s="458"/>
      <c r="E570" s="458"/>
      <c r="F570" s="458"/>
    </row>
    <row r="571" ht="15.75" customHeight="1">
      <c r="A571" s="458"/>
      <c r="B571" s="458"/>
      <c r="C571" s="458"/>
      <c r="D571" s="458"/>
      <c r="E571" s="458"/>
      <c r="F571" s="458"/>
    </row>
    <row r="572" ht="15.75" customHeight="1">
      <c r="A572" s="458"/>
      <c r="B572" s="458"/>
      <c r="C572" s="458"/>
      <c r="D572" s="458"/>
      <c r="E572" s="458"/>
      <c r="F572" s="458"/>
    </row>
    <row r="573" ht="15.75" customHeight="1">
      <c r="A573" s="458"/>
      <c r="B573" s="458"/>
      <c r="C573" s="458"/>
      <c r="D573" s="458"/>
      <c r="E573" s="458"/>
      <c r="F573" s="458"/>
    </row>
    <row r="574" ht="15.75" customHeight="1">
      <c r="A574" s="458"/>
      <c r="B574" s="458"/>
      <c r="C574" s="458"/>
      <c r="D574" s="458"/>
      <c r="E574" s="458"/>
      <c r="F574" s="458"/>
    </row>
    <row r="575" ht="15.75" customHeight="1">
      <c r="A575" s="458"/>
      <c r="B575" s="458"/>
      <c r="C575" s="458"/>
      <c r="D575" s="458"/>
      <c r="E575" s="458"/>
      <c r="F575" s="458"/>
    </row>
    <row r="576" ht="15.75" customHeight="1">
      <c r="A576" s="458"/>
      <c r="B576" s="458"/>
      <c r="C576" s="458"/>
      <c r="D576" s="458"/>
      <c r="E576" s="458"/>
      <c r="F576" s="458"/>
    </row>
    <row r="577" ht="15.75" customHeight="1">
      <c r="A577" s="458"/>
      <c r="B577" s="458"/>
      <c r="C577" s="458"/>
      <c r="D577" s="458"/>
      <c r="E577" s="458"/>
      <c r="F577" s="458"/>
    </row>
    <row r="578" ht="15.75" customHeight="1">
      <c r="A578" s="458"/>
      <c r="B578" s="458"/>
      <c r="C578" s="458"/>
      <c r="D578" s="458"/>
      <c r="E578" s="458"/>
      <c r="F578" s="458"/>
    </row>
    <row r="579" ht="15.75" customHeight="1">
      <c r="A579" s="458"/>
      <c r="B579" s="458"/>
      <c r="C579" s="458"/>
      <c r="D579" s="458"/>
      <c r="E579" s="458"/>
      <c r="F579" s="458"/>
    </row>
    <row r="580" ht="15.75" customHeight="1">
      <c r="A580" s="458"/>
      <c r="B580" s="458"/>
      <c r="C580" s="458"/>
      <c r="D580" s="458"/>
      <c r="E580" s="458"/>
      <c r="F580" s="458"/>
    </row>
    <row r="581" ht="15.75" customHeight="1">
      <c r="A581" s="458"/>
      <c r="B581" s="458"/>
      <c r="C581" s="458"/>
      <c r="D581" s="458"/>
      <c r="E581" s="458"/>
      <c r="F581" s="458"/>
    </row>
    <row r="582" ht="15.75" customHeight="1">
      <c r="A582" s="458"/>
      <c r="B582" s="458"/>
      <c r="C582" s="458"/>
      <c r="D582" s="458"/>
      <c r="E582" s="458"/>
      <c r="F582" s="458"/>
    </row>
    <row r="583" ht="15.75" customHeight="1">
      <c r="A583" s="458"/>
      <c r="B583" s="458"/>
      <c r="C583" s="458"/>
      <c r="D583" s="458"/>
      <c r="E583" s="458"/>
      <c r="F583" s="458"/>
    </row>
    <row r="584" ht="15.75" customHeight="1">
      <c r="A584" s="458"/>
      <c r="B584" s="458"/>
      <c r="C584" s="458"/>
      <c r="D584" s="458"/>
      <c r="E584" s="458"/>
      <c r="F584" s="458"/>
    </row>
    <row r="585" ht="15.75" customHeight="1">
      <c r="A585" s="458"/>
      <c r="B585" s="458"/>
      <c r="C585" s="458"/>
      <c r="D585" s="458"/>
      <c r="E585" s="458"/>
      <c r="F585" s="458"/>
    </row>
    <row r="586" ht="15.75" customHeight="1">
      <c r="A586" s="458"/>
      <c r="B586" s="458"/>
      <c r="C586" s="458"/>
      <c r="D586" s="458"/>
      <c r="E586" s="458"/>
      <c r="F586" s="458"/>
    </row>
    <row r="587" ht="15.75" customHeight="1">
      <c r="A587" s="458"/>
      <c r="B587" s="458"/>
      <c r="C587" s="458"/>
      <c r="D587" s="458"/>
      <c r="E587" s="458"/>
      <c r="F587" s="458"/>
    </row>
    <row r="588" ht="15.75" customHeight="1">
      <c r="A588" s="458"/>
      <c r="B588" s="458"/>
      <c r="C588" s="458"/>
      <c r="D588" s="458"/>
      <c r="E588" s="458"/>
      <c r="F588" s="458"/>
    </row>
    <row r="589" ht="15.75" customHeight="1">
      <c r="A589" s="458"/>
      <c r="B589" s="458"/>
      <c r="C589" s="458"/>
      <c r="D589" s="458"/>
      <c r="E589" s="458"/>
      <c r="F589" s="458"/>
    </row>
    <row r="590" ht="15.75" customHeight="1">
      <c r="A590" s="458"/>
      <c r="B590" s="458"/>
      <c r="C590" s="458"/>
      <c r="D590" s="458"/>
      <c r="E590" s="458"/>
      <c r="F590" s="458"/>
    </row>
    <row r="591" ht="15.75" customHeight="1">
      <c r="A591" s="458"/>
      <c r="B591" s="458"/>
      <c r="C591" s="458"/>
      <c r="D591" s="458"/>
      <c r="E591" s="458"/>
      <c r="F591" s="458"/>
    </row>
    <row r="592" ht="15.75" customHeight="1">
      <c r="A592" s="458"/>
      <c r="B592" s="458"/>
      <c r="C592" s="458"/>
      <c r="D592" s="458"/>
      <c r="E592" s="458"/>
      <c r="F592" s="458"/>
    </row>
    <row r="593" ht="15.75" customHeight="1">
      <c r="A593" s="458"/>
      <c r="B593" s="458"/>
      <c r="C593" s="458"/>
      <c r="D593" s="458"/>
      <c r="E593" s="458"/>
      <c r="F593" s="458"/>
    </row>
    <row r="594" ht="15.75" customHeight="1">
      <c r="A594" s="458"/>
      <c r="B594" s="458"/>
      <c r="C594" s="458"/>
      <c r="D594" s="458"/>
      <c r="E594" s="458"/>
      <c r="F594" s="458"/>
    </row>
    <row r="595" ht="15.75" customHeight="1">
      <c r="A595" s="458"/>
      <c r="B595" s="458"/>
      <c r="C595" s="458"/>
      <c r="D595" s="458"/>
      <c r="E595" s="458"/>
      <c r="F595" s="458"/>
    </row>
    <row r="596" ht="15.75" customHeight="1">
      <c r="A596" s="458"/>
      <c r="B596" s="458"/>
      <c r="C596" s="458"/>
      <c r="D596" s="458"/>
      <c r="E596" s="458"/>
      <c r="F596" s="458"/>
    </row>
    <row r="597" ht="15.75" customHeight="1">
      <c r="A597" s="458"/>
      <c r="B597" s="458"/>
      <c r="C597" s="458"/>
      <c r="D597" s="458"/>
      <c r="E597" s="458"/>
      <c r="F597" s="458"/>
    </row>
    <row r="598" ht="15.75" customHeight="1">
      <c r="A598" s="458"/>
      <c r="B598" s="458"/>
      <c r="C598" s="458"/>
      <c r="D598" s="458"/>
      <c r="E598" s="458"/>
      <c r="F598" s="458"/>
    </row>
    <row r="599" ht="15.75" customHeight="1">
      <c r="A599" s="458"/>
      <c r="B599" s="458"/>
      <c r="C599" s="458"/>
      <c r="D599" s="458"/>
      <c r="E599" s="458"/>
      <c r="F599" s="458"/>
    </row>
    <row r="600" ht="15.75" customHeight="1">
      <c r="A600" s="458"/>
      <c r="B600" s="458"/>
      <c r="C600" s="458"/>
      <c r="D600" s="458"/>
      <c r="E600" s="458"/>
      <c r="F600" s="458"/>
    </row>
    <row r="601" ht="15.75" customHeight="1">
      <c r="A601" s="458"/>
      <c r="B601" s="458"/>
      <c r="C601" s="458"/>
      <c r="D601" s="458"/>
      <c r="E601" s="458"/>
      <c r="F601" s="458"/>
    </row>
    <row r="602" ht="15.75" customHeight="1">
      <c r="A602" s="458"/>
      <c r="B602" s="458"/>
      <c r="C602" s="458"/>
      <c r="D602" s="458"/>
      <c r="E602" s="458"/>
      <c r="F602" s="458"/>
    </row>
    <row r="603" ht="15.75" customHeight="1">
      <c r="A603" s="458"/>
      <c r="B603" s="458"/>
      <c r="C603" s="458"/>
      <c r="D603" s="458"/>
      <c r="E603" s="458"/>
      <c r="F603" s="458"/>
    </row>
    <row r="604" ht="15.75" customHeight="1">
      <c r="A604" s="458"/>
      <c r="B604" s="458"/>
      <c r="C604" s="458"/>
      <c r="D604" s="458"/>
      <c r="E604" s="458"/>
      <c r="F604" s="458"/>
    </row>
    <row r="605" ht="15.75" customHeight="1">
      <c r="A605" s="458"/>
      <c r="B605" s="458"/>
      <c r="C605" s="458"/>
      <c r="D605" s="458"/>
      <c r="E605" s="458"/>
      <c r="F605" s="458"/>
    </row>
    <row r="606" ht="15.75" customHeight="1">
      <c r="A606" s="458"/>
      <c r="B606" s="458"/>
      <c r="C606" s="458"/>
      <c r="D606" s="458"/>
      <c r="E606" s="458"/>
      <c r="F606" s="458"/>
    </row>
    <row r="607" ht="15.75" customHeight="1">
      <c r="A607" s="458"/>
      <c r="B607" s="458"/>
      <c r="C607" s="458"/>
      <c r="D607" s="458"/>
      <c r="E607" s="458"/>
      <c r="F607" s="458"/>
    </row>
    <row r="608" ht="15.75" customHeight="1">
      <c r="A608" s="458"/>
      <c r="B608" s="458"/>
      <c r="C608" s="458"/>
      <c r="D608" s="458"/>
      <c r="E608" s="458"/>
      <c r="F608" s="458"/>
    </row>
    <row r="609" ht="15.75" customHeight="1">
      <c r="A609" s="458"/>
      <c r="B609" s="458"/>
      <c r="C609" s="458"/>
      <c r="D609" s="458"/>
      <c r="E609" s="458"/>
      <c r="F609" s="458"/>
    </row>
    <row r="610" ht="15.75" customHeight="1">
      <c r="A610" s="458"/>
      <c r="B610" s="458"/>
      <c r="C610" s="458"/>
      <c r="D610" s="458"/>
      <c r="E610" s="458"/>
      <c r="F610" s="458"/>
    </row>
    <row r="611" ht="15.75" customHeight="1">
      <c r="A611" s="458"/>
      <c r="B611" s="458"/>
      <c r="C611" s="458"/>
      <c r="D611" s="458"/>
      <c r="E611" s="458"/>
      <c r="F611" s="458"/>
    </row>
    <row r="612" ht="15.75" customHeight="1">
      <c r="A612" s="458"/>
      <c r="B612" s="458"/>
      <c r="C612" s="458"/>
      <c r="D612" s="458"/>
      <c r="E612" s="458"/>
      <c r="F612" s="458"/>
    </row>
    <row r="613" ht="15.75" customHeight="1">
      <c r="A613" s="458"/>
      <c r="B613" s="458"/>
      <c r="C613" s="458"/>
      <c r="D613" s="458"/>
      <c r="E613" s="458"/>
      <c r="F613" s="458"/>
    </row>
    <row r="614" ht="15.75" customHeight="1">
      <c r="A614" s="458"/>
      <c r="B614" s="458"/>
      <c r="C614" s="458"/>
      <c r="D614" s="458"/>
      <c r="E614" s="458"/>
      <c r="F614" s="458"/>
    </row>
    <row r="615" ht="15.75" customHeight="1">
      <c r="A615" s="458"/>
      <c r="B615" s="458"/>
      <c r="C615" s="458"/>
      <c r="D615" s="458"/>
      <c r="E615" s="458"/>
      <c r="F615" s="458"/>
    </row>
    <row r="616" ht="15.75" customHeight="1">
      <c r="A616" s="458"/>
      <c r="B616" s="458"/>
      <c r="C616" s="458"/>
      <c r="D616" s="458"/>
      <c r="E616" s="458"/>
      <c r="F616" s="458"/>
    </row>
    <row r="617" ht="15.75" customHeight="1">
      <c r="A617" s="458"/>
      <c r="B617" s="458"/>
      <c r="C617" s="458"/>
      <c r="D617" s="458"/>
      <c r="E617" s="458"/>
      <c r="F617" s="458"/>
    </row>
    <row r="618" ht="15.75" customHeight="1">
      <c r="A618" s="458"/>
      <c r="B618" s="458"/>
      <c r="C618" s="458"/>
      <c r="D618" s="458"/>
      <c r="E618" s="458"/>
      <c r="F618" s="458"/>
    </row>
    <row r="619" ht="15.75" customHeight="1">
      <c r="A619" s="458"/>
      <c r="B619" s="458"/>
      <c r="C619" s="458"/>
      <c r="D619" s="458"/>
      <c r="E619" s="458"/>
      <c r="F619" s="458"/>
    </row>
    <row r="620" ht="15.75" customHeight="1">
      <c r="A620" s="458"/>
      <c r="B620" s="458"/>
      <c r="C620" s="458"/>
      <c r="D620" s="458"/>
      <c r="E620" s="458"/>
      <c r="F620" s="458"/>
    </row>
    <row r="621" ht="15.75" customHeight="1">
      <c r="A621" s="458"/>
      <c r="B621" s="458"/>
      <c r="C621" s="458"/>
      <c r="D621" s="458"/>
      <c r="E621" s="458"/>
      <c r="F621" s="458"/>
    </row>
    <row r="622" ht="15.75" customHeight="1">
      <c r="A622" s="458"/>
      <c r="B622" s="458"/>
      <c r="C622" s="458"/>
      <c r="D622" s="458"/>
      <c r="E622" s="458"/>
      <c r="F622" s="458"/>
    </row>
    <row r="623" ht="15.75" customHeight="1">
      <c r="A623" s="458"/>
      <c r="B623" s="458"/>
      <c r="C623" s="458"/>
      <c r="D623" s="458"/>
      <c r="E623" s="458"/>
      <c r="F623" s="458"/>
    </row>
    <row r="624" ht="15.75" customHeight="1">
      <c r="A624" s="458"/>
      <c r="B624" s="458"/>
      <c r="C624" s="458"/>
      <c r="D624" s="458"/>
      <c r="E624" s="458"/>
      <c r="F624" s="458"/>
    </row>
    <row r="625" ht="15.75" customHeight="1">
      <c r="A625" s="458"/>
      <c r="B625" s="458"/>
      <c r="C625" s="458"/>
      <c r="D625" s="458"/>
      <c r="E625" s="458"/>
      <c r="F625" s="458"/>
    </row>
    <row r="626" ht="15.75" customHeight="1">
      <c r="A626" s="458"/>
      <c r="B626" s="458"/>
      <c r="C626" s="458"/>
      <c r="D626" s="458"/>
      <c r="E626" s="458"/>
      <c r="F626" s="458"/>
    </row>
    <row r="627" ht="15.75" customHeight="1">
      <c r="A627" s="458"/>
      <c r="B627" s="458"/>
      <c r="C627" s="458"/>
      <c r="D627" s="458"/>
      <c r="E627" s="458"/>
      <c r="F627" s="458"/>
    </row>
    <row r="628" ht="15.75" customHeight="1">
      <c r="A628" s="458"/>
      <c r="B628" s="458"/>
      <c r="C628" s="458"/>
      <c r="D628" s="458"/>
      <c r="E628" s="458"/>
      <c r="F628" s="458"/>
    </row>
    <row r="629" ht="15.75" customHeight="1">
      <c r="A629" s="458"/>
      <c r="B629" s="458"/>
      <c r="C629" s="458"/>
      <c r="D629" s="458"/>
      <c r="E629" s="458"/>
      <c r="F629" s="458"/>
    </row>
    <row r="630" ht="15.75" customHeight="1">
      <c r="A630" s="458"/>
      <c r="B630" s="458"/>
      <c r="C630" s="458"/>
      <c r="D630" s="458"/>
      <c r="E630" s="458"/>
      <c r="F630" s="458"/>
    </row>
    <row r="631" ht="15.75" customHeight="1">
      <c r="A631" s="458"/>
      <c r="B631" s="458"/>
      <c r="C631" s="458"/>
      <c r="D631" s="458"/>
      <c r="E631" s="458"/>
      <c r="F631" s="458"/>
    </row>
    <row r="632" ht="15.75" customHeight="1">
      <c r="A632" s="458"/>
      <c r="B632" s="458"/>
      <c r="C632" s="458"/>
      <c r="D632" s="458"/>
      <c r="E632" s="458"/>
      <c r="F632" s="458"/>
    </row>
    <row r="633" ht="15.75" customHeight="1">
      <c r="A633" s="458"/>
      <c r="B633" s="458"/>
      <c r="C633" s="458"/>
      <c r="D633" s="458"/>
      <c r="E633" s="458"/>
      <c r="F633" s="458"/>
    </row>
    <row r="634" ht="15.75" customHeight="1">
      <c r="A634" s="458"/>
      <c r="B634" s="458"/>
      <c r="C634" s="458"/>
      <c r="D634" s="458"/>
      <c r="E634" s="458"/>
      <c r="F634" s="458"/>
    </row>
    <row r="635" ht="15.75" customHeight="1">
      <c r="A635" s="458"/>
      <c r="B635" s="458"/>
      <c r="C635" s="458"/>
      <c r="D635" s="458"/>
      <c r="E635" s="458"/>
      <c r="F635" s="458"/>
    </row>
    <row r="636" ht="15.75" customHeight="1">
      <c r="A636" s="458"/>
      <c r="B636" s="458"/>
      <c r="C636" s="458"/>
      <c r="D636" s="458"/>
      <c r="E636" s="458"/>
      <c r="F636" s="458"/>
    </row>
    <row r="637" ht="15.75" customHeight="1">
      <c r="A637" s="458"/>
      <c r="B637" s="458"/>
      <c r="C637" s="458"/>
      <c r="D637" s="458"/>
      <c r="E637" s="458"/>
      <c r="F637" s="458"/>
    </row>
    <row r="638" ht="15.75" customHeight="1">
      <c r="A638" s="458"/>
      <c r="B638" s="458"/>
      <c r="C638" s="458"/>
      <c r="D638" s="458"/>
      <c r="E638" s="458"/>
      <c r="F638" s="458"/>
    </row>
    <row r="639" ht="15.75" customHeight="1">
      <c r="A639" s="458"/>
      <c r="B639" s="458"/>
      <c r="C639" s="458"/>
      <c r="D639" s="458"/>
      <c r="E639" s="458"/>
      <c r="F639" s="458"/>
    </row>
    <row r="640" ht="15.75" customHeight="1">
      <c r="A640" s="458"/>
      <c r="B640" s="458"/>
      <c r="C640" s="458"/>
      <c r="D640" s="458"/>
      <c r="E640" s="458"/>
      <c r="F640" s="458"/>
    </row>
    <row r="641" ht="15.75" customHeight="1">
      <c r="A641" s="458"/>
      <c r="B641" s="458"/>
      <c r="C641" s="458"/>
      <c r="D641" s="458"/>
      <c r="E641" s="458"/>
      <c r="F641" s="458"/>
    </row>
    <row r="642" ht="15.75" customHeight="1">
      <c r="A642" s="458"/>
      <c r="B642" s="458"/>
      <c r="C642" s="458"/>
      <c r="D642" s="458"/>
      <c r="E642" s="458"/>
      <c r="F642" s="458"/>
    </row>
    <row r="643" ht="15.75" customHeight="1">
      <c r="A643" s="458"/>
      <c r="B643" s="458"/>
      <c r="C643" s="458"/>
      <c r="D643" s="458"/>
      <c r="E643" s="458"/>
      <c r="F643" s="458"/>
    </row>
    <row r="644" ht="15.75" customHeight="1">
      <c r="A644" s="458"/>
      <c r="B644" s="458"/>
      <c r="C644" s="458"/>
      <c r="D644" s="458"/>
      <c r="E644" s="458"/>
      <c r="F644" s="458"/>
    </row>
    <row r="645" ht="15.75" customHeight="1">
      <c r="A645" s="458"/>
      <c r="B645" s="458"/>
      <c r="C645" s="458"/>
      <c r="D645" s="458"/>
      <c r="E645" s="458"/>
      <c r="F645" s="458"/>
    </row>
    <row r="646" ht="15.75" customHeight="1">
      <c r="A646" s="458"/>
      <c r="B646" s="458"/>
      <c r="C646" s="458"/>
      <c r="D646" s="458"/>
      <c r="E646" s="458"/>
      <c r="F646" s="458"/>
    </row>
    <row r="647" ht="15.75" customHeight="1">
      <c r="A647" s="458"/>
      <c r="B647" s="458"/>
      <c r="C647" s="458"/>
      <c r="D647" s="458"/>
      <c r="E647" s="458"/>
      <c r="F647" s="458"/>
    </row>
    <row r="648" ht="15.75" customHeight="1">
      <c r="A648" s="458"/>
      <c r="B648" s="458"/>
      <c r="C648" s="458"/>
      <c r="D648" s="458"/>
      <c r="E648" s="458"/>
      <c r="F648" s="458"/>
    </row>
    <row r="649" ht="15.75" customHeight="1">
      <c r="A649" s="458"/>
      <c r="B649" s="458"/>
      <c r="C649" s="458"/>
      <c r="D649" s="458"/>
      <c r="E649" s="458"/>
      <c r="F649" s="458"/>
    </row>
    <row r="650" ht="15.75" customHeight="1">
      <c r="A650" s="458"/>
      <c r="B650" s="458"/>
      <c r="C650" s="458"/>
      <c r="D650" s="458"/>
      <c r="E650" s="458"/>
      <c r="F650" s="458"/>
    </row>
    <row r="651" ht="15.75" customHeight="1">
      <c r="A651" s="458"/>
      <c r="B651" s="458"/>
      <c r="C651" s="458"/>
      <c r="D651" s="458"/>
      <c r="E651" s="458"/>
      <c r="F651" s="458"/>
    </row>
    <row r="652" ht="15.75" customHeight="1">
      <c r="A652" s="458"/>
      <c r="B652" s="458"/>
      <c r="C652" s="458"/>
      <c r="D652" s="458"/>
      <c r="E652" s="458"/>
      <c r="F652" s="458"/>
    </row>
    <row r="653" ht="15.75" customHeight="1">
      <c r="A653" s="458"/>
      <c r="B653" s="458"/>
      <c r="C653" s="458"/>
      <c r="D653" s="458"/>
      <c r="E653" s="458"/>
      <c r="F653" s="458"/>
    </row>
    <row r="654" ht="15.75" customHeight="1">
      <c r="A654" s="458"/>
      <c r="B654" s="458"/>
      <c r="C654" s="458"/>
      <c r="D654" s="458"/>
      <c r="E654" s="458"/>
      <c r="F654" s="458"/>
    </row>
    <row r="655" ht="15.75" customHeight="1">
      <c r="A655" s="458"/>
      <c r="B655" s="458"/>
      <c r="C655" s="458"/>
      <c r="D655" s="458"/>
      <c r="E655" s="458"/>
      <c r="F655" s="458"/>
    </row>
    <row r="656" ht="15.75" customHeight="1">
      <c r="A656" s="458"/>
      <c r="B656" s="458"/>
      <c r="C656" s="458"/>
      <c r="D656" s="458"/>
      <c r="E656" s="458"/>
      <c r="F656" s="458"/>
    </row>
    <row r="657" ht="15.75" customHeight="1">
      <c r="A657" s="458"/>
      <c r="B657" s="458"/>
      <c r="C657" s="458"/>
      <c r="D657" s="458"/>
      <c r="E657" s="458"/>
      <c r="F657" s="458"/>
    </row>
    <row r="658" ht="15.75" customHeight="1">
      <c r="A658" s="458"/>
      <c r="B658" s="458"/>
      <c r="C658" s="458"/>
      <c r="D658" s="458"/>
      <c r="E658" s="458"/>
      <c r="F658" s="458"/>
    </row>
    <row r="659" ht="15.75" customHeight="1">
      <c r="A659" s="458"/>
      <c r="B659" s="458"/>
      <c r="C659" s="458"/>
      <c r="D659" s="458"/>
      <c r="E659" s="458"/>
      <c r="F659" s="458"/>
    </row>
    <row r="660" ht="15.75" customHeight="1">
      <c r="A660" s="458"/>
      <c r="B660" s="458"/>
      <c r="C660" s="458"/>
      <c r="D660" s="458"/>
      <c r="E660" s="458"/>
      <c r="F660" s="458"/>
    </row>
    <row r="661" ht="15.75" customHeight="1">
      <c r="A661" s="458"/>
      <c r="B661" s="458"/>
      <c r="C661" s="458"/>
      <c r="D661" s="458"/>
      <c r="E661" s="458"/>
      <c r="F661" s="458"/>
    </row>
    <row r="662" ht="15.75" customHeight="1">
      <c r="A662" s="458"/>
      <c r="B662" s="458"/>
      <c r="C662" s="458"/>
      <c r="D662" s="458"/>
      <c r="E662" s="458"/>
      <c r="F662" s="458"/>
    </row>
    <row r="663" ht="15.75" customHeight="1">
      <c r="A663" s="458"/>
      <c r="B663" s="458"/>
      <c r="C663" s="458"/>
      <c r="D663" s="458"/>
      <c r="E663" s="458"/>
      <c r="F663" s="458"/>
    </row>
    <row r="664" ht="15.75" customHeight="1">
      <c r="A664" s="458"/>
      <c r="B664" s="458"/>
      <c r="C664" s="458"/>
      <c r="D664" s="458"/>
      <c r="E664" s="458"/>
      <c r="F664" s="458"/>
    </row>
    <row r="665" ht="15.75" customHeight="1">
      <c r="A665" s="458"/>
      <c r="B665" s="458"/>
      <c r="C665" s="458"/>
      <c r="D665" s="458"/>
      <c r="E665" s="458"/>
      <c r="F665" s="458"/>
    </row>
    <row r="666" ht="15.75" customHeight="1">
      <c r="A666" s="458"/>
      <c r="B666" s="458"/>
      <c r="C666" s="458"/>
      <c r="D666" s="458"/>
      <c r="E666" s="458"/>
      <c r="F666" s="458"/>
    </row>
    <row r="667" ht="15.75" customHeight="1">
      <c r="A667" s="458"/>
      <c r="B667" s="458"/>
      <c r="C667" s="458"/>
      <c r="D667" s="458"/>
      <c r="E667" s="458"/>
      <c r="F667" s="458"/>
    </row>
    <row r="668" ht="15.75" customHeight="1">
      <c r="A668" s="458"/>
      <c r="B668" s="458"/>
      <c r="C668" s="458"/>
      <c r="D668" s="458"/>
      <c r="E668" s="458"/>
      <c r="F668" s="458"/>
    </row>
    <row r="669" ht="15.75" customHeight="1">
      <c r="A669" s="458"/>
      <c r="B669" s="458"/>
      <c r="C669" s="458"/>
      <c r="D669" s="458"/>
      <c r="E669" s="458"/>
      <c r="F669" s="458"/>
    </row>
    <row r="670" ht="15.75" customHeight="1">
      <c r="A670" s="458"/>
      <c r="B670" s="458"/>
      <c r="C670" s="458"/>
      <c r="D670" s="458"/>
      <c r="E670" s="458"/>
      <c r="F670" s="458"/>
    </row>
    <row r="671" ht="15.75" customHeight="1">
      <c r="A671" s="458"/>
      <c r="B671" s="458"/>
      <c r="C671" s="458"/>
      <c r="D671" s="458"/>
      <c r="E671" s="458"/>
      <c r="F671" s="458"/>
    </row>
    <row r="672" ht="15.75" customHeight="1">
      <c r="A672" s="458"/>
      <c r="B672" s="458"/>
      <c r="C672" s="458"/>
      <c r="D672" s="458"/>
      <c r="E672" s="458"/>
      <c r="F672" s="458"/>
    </row>
    <row r="673" ht="15.75" customHeight="1">
      <c r="A673" s="458"/>
      <c r="B673" s="458"/>
      <c r="C673" s="458"/>
      <c r="D673" s="458"/>
      <c r="E673" s="458"/>
      <c r="F673" s="458"/>
    </row>
    <row r="674" ht="15.75" customHeight="1">
      <c r="A674" s="458"/>
      <c r="B674" s="458"/>
      <c r="C674" s="458"/>
      <c r="D674" s="458"/>
      <c r="E674" s="458"/>
      <c r="F674" s="458"/>
    </row>
    <row r="675" ht="15.75" customHeight="1">
      <c r="A675" s="458"/>
      <c r="B675" s="458"/>
      <c r="C675" s="458"/>
      <c r="D675" s="458"/>
      <c r="E675" s="458"/>
      <c r="F675" s="458"/>
    </row>
    <row r="676" ht="15.75" customHeight="1">
      <c r="A676" s="458"/>
      <c r="B676" s="458"/>
      <c r="C676" s="458"/>
      <c r="D676" s="458"/>
      <c r="E676" s="458"/>
      <c r="F676" s="458"/>
    </row>
    <row r="677" ht="15.75" customHeight="1">
      <c r="A677" s="458"/>
      <c r="B677" s="458"/>
      <c r="C677" s="458"/>
      <c r="D677" s="458"/>
      <c r="E677" s="458"/>
      <c r="F677" s="458"/>
    </row>
    <row r="678" ht="15.75" customHeight="1">
      <c r="A678" s="458"/>
      <c r="B678" s="458"/>
      <c r="C678" s="458"/>
      <c r="D678" s="458"/>
      <c r="E678" s="458"/>
      <c r="F678" s="458"/>
    </row>
    <row r="679" ht="15.75" customHeight="1">
      <c r="A679" s="458"/>
      <c r="B679" s="458"/>
      <c r="C679" s="458"/>
      <c r="D679" s="458"/>
      <c r="E679" s="458"/>
      <c r="F679" s="458"/>
    </row>
    <row r="680" ht="15.75" customHeight="1">
      <c r="A680" s="458"/>
      <c r="B680" s="458"/>
      <c r="C680" s="458"/>
      <c r="D680" s="458"/>
      <c r="E680" s="458"/>
      <c r="F680" s="458"/>
    </row>
    <row r="681" ht="15.75" customHeight="1">
      <c r="A681" s="458"/>
      <c r="B681" s="458"/>
      <c r="C681" s="458"/>
      <c r="D681" s="458"/>
      <c r="E681" s="458"/>
      <c r="F681" s="458"/>
    </row>
    <row r="682" ht="15.75" customHeight="1">
      <c r="A682" s="458"/>
      <c r="B682" s="458"/>
      <c r="C682" s="458"/>
      <c r="D682" s="458"/>
      <c r="E682" s="458"/>
      <c r="F682" s="458"/>
    </row>
    <row r="683" ht="15.75" customHeight="1">
      <c r="A683" s="458"/>
      <c r="B683" s="458"/>
      <c r="C683" s="458"/>
      <c r="D683" s="458"/>
      <c r="E683" s="458"/>
      <c r="F683" s="458"/>
    </row>
    <row r="684" ht="15.75" customHeight="1">
      <c r="A684" s="458"/>
      <c r="B684" s="458"/>
      <c r="C684" s="458"/>
      <c r="D684" s="458"/>
      <c r="E684" s="458"/>
      <c r="F684" s="458"/>
    </row>
    <row r="685" ht="15.75" customHeight="1">
      <c r="A685" s="458"/>
      <c r="B685" s="458"/>
      <c r="C685" s="458"/>
      <c r="D685" s="458"/>
      <c r="E685" s="458"/>
      <c r="F685" s="458"/>
    </row>
    <row r="686" ht="15.75" customHeight="1">
      <c r="A686" s="458"/>
      <c r="B686" s="458"/>
      <c r="C686" s="458"/>
      <c r="D686" s="458"/>
      <c r="E686" s="458"/>
      <c r="F686" s="458"/>
    </row>
    <row r="687" ht="15.75" customHeight="1">
      <c r="A687" s="458"/>
      <c r="B687" s="458"/>
      <c r="C687" s="458"/>
      <c r="D687" s="458"/>
      <c r="E687" s="458"/>
      <c r="F687" s="458"/>
    </row>
    <row r="688" ht="15.75" customHeight="1">
      <c r="A688" s="458"/>
      <c r="B688" s="458"/>
      <c r="C688" s="458"/>
      <c r="D688" s="458"/>
      <c r="E688" s="458"/>
      <c r="F688" s="458"/>
    </row>
    <row r="689" ht="15.75" customHeight="1">
      <c r="A689" s="458"/>
      <c r="B689" s="458"/>
      <c r="C689" s="458"/>
      <c r="D689" s="458"/>
      <c r="E689" s="458"/>
      <c r="F689" s="458"/>
    </row>
    <row r="690" ht="15.75" customHeight="1">
      <c r="A690" s="458"/>
      <c r="B690" s="458"/>
      <c r="C690" s="458"/>
      <c r="D690" s="458"/>
      <c r="E690" s="458"/>
      <c r="F690" s="458"/>
    </row>
    <row r="691" ht="15.75" customHeight="1">
      <c r="A691" s="458"/>
      <c r="B691" s="458"/>
      <c r="C691" s="458"/>
      <c r="D691" s="458"/>
      <c r="E691" s="458"/>
      <c r="F691" s="458"/>
    </row>
    <row r="692" ht="15.75" customHeight="1">
      <c r="A692" s="458"/>
      <c r="B692" s="458"/>
      <c r="C692" s="458"/>
      <c r="D692" s="458"/>
      <c r="E692" s="458"/>
      <c r="F692" s="458"/>
    </row>
    <row r="693" ht="15.75" customHeight="1">
      <c r="A693" s="458"/>
      <c r="B693" s="458"/>
      <c r="C693" s="458"/>
      <c r="D693" s="458"/>
      <c r="E693" s="458"/>
      <c r="F693" s="458"/>
    </row>
    <row r="694" ht="15.75" customHeight="1">
      <c r="A694" s="458"/>
      <c r="B694" s="458"/>
      <c r="C694" s="458"/>
      <c r="D694" s="458"/>
      <c r="E694" s="458"/>
      <c r="F694" s="458"/>
    </row>
    <row r="695" ht="15.75" customHeight="1">
      <c r="A695" s="458"/>
      <c r="B695" s="458"/>
      <c r="C695" s="458"/>
      <c r="D695" s="458"/>
      <c r="E695" s="458"/>
      <c r="F695" s="458"/>
    </row>
    <row r="696" ht="15.75" customHeight="1">
      <c r="A696" s="458"/>
      <c r="B696" s="458"/>
      <c r="C696" s="458"/>
      <c r="D696" s="458"/>
      <c r="E696" s="458"/>
      <c r="F696" s="458"/>
    </row>
    <row r="697" ht="15.75" customHeight="1">
      <c r="A697" s="458"/>
      <c r="B697" s="458"/>
      <c r="C697" s="458"/>
      <c r="D697" s="458"/>
      <c r="E697" s="458"/>
      <c r="F697" s="458"/>
    </row>
    <row r="698" ht="15.75" customHeight="1">
      <c r="A698" s="458"/>
      <c r="B698" s="458"/>
      <c r="C698" s="458"/>
      <c r="D698" s="458"/>
      <c r="E698" s="458"/>
      <c r="F698" s="458"/>
    </row>
    <row r="699" ht="15.75" customHeight="1">
      <c r="A699" s="458"/>
      <c r="B699" s="458"/>
      <c r="C699" s="458"/>
      <c r="D699" s="458"/>
      <c r="E699" s="458"/>
      <c r="F699" s="458"/>
    </row>
    <row r="700" ht="15.75" customHeight="1">
      <c r="A700" s="458"/>
      <c r="B700" s="458"/>
      <c r="C700" s="458"/>
      <c r="D700" s="458"/>
      <c r="E700" s="458"/>
      <c r="F700" s="458"/>
    </row>
    <row r="701" ht="15.75" customHeight="1">
      <c r="A701" s="458"/>
      <c r="B701" s="458"/>
      <c r="C701" s="458"/>
      <c r="D701" s="458"/>
      <c r="E701" s="458"/>
      <c r="F701" s="458"/>
    </row>
    <row r="702" ht="15.75" customHeight="1">
      <c r="A702" s="458"/>
      <c r="B702" s="458"/>
      <c r="C702" s="458"/>
      <c r="D702" s="458"/>
      <c r="E702" s="458"/>
      <c r="F702" s="458"/>
    </row>
    <row r="703" ht="15.75" customHeight="1">
      <c r="A703" s="458"/>
      <c r="B703" s="458"/>
      <c r="C703" s="458"/>
      <c r="D703" s="458"/>
      <c r="E703" s="458"/>
      <c r="F703" s="458"/>
    </row>
    <row r="704" ht="15.75" customHeight="1">
      <c r="A704" s="458"/>
      <c r="B704" s="458"/>
      <c r="C704" s="458"/>
      <c r="D704" s="458"/>
      <c r="E704" s="458"/>
      <c r="F704" s="458"/>
    </row>
    <row r="705" ht="15.75" customHeight="1">
      <c r="A705" s="458"/>
      <c r="B705" s="458"/>
      <c r="C705" s="458"/>
      <c r="D705" s="458"/>
      <c r="E705" s="458"/>
      <c r="F705" s="458"/>
    </row>
    <row r="706" ht="15.75" customHeight="1">
      <c r="A706" s="458"/>
      <c r="B706" s="458"/>
      <c r="C706" s="458"/>
      <c r="D706" s="458"/>
      <c r="E706" s="458"/>
      <c r="F706" s="458"/>
    </row>
    <row r="707" ht="15.75" customHeight="1">
      <c r="A707" s="458"/>
      <c r="B707" s="458"/>
      <c r="C707" s="458"/>
      <c r="D707" s="458"/>
      <c r="E707" s="458"/>
      <c r="F707" s="458"/>
    </row>
    <row r="708" ht="15.75" customHeight="1">
      <c r="A708" s="458"/>
      <c r="B708" s="458"/>
      <c r="C708" s="458"/>
      <c r="D708" s="458"/>
      <c r="E708" s="458"/>
      <c r="F708" s="458"/>
    </row>
    <row r="709" ht="15.75" customHeight="1">
      <c r="A709" s="458"/>
      <c r="B709" s="458"/>
      <c r="C709" s="458"/>
      <c r="D709" s="458"/>
      <c r="E709" s="458"/>
      <c r="F709" s="458"/>
    </row>
    <row r="710" ht="15.75" customHeight="1">
      <c r="A710" s="458"/>
      <c r="B710" s="458"/>
      <c r="C710" s="458"/>
      <c r="D710" s="458"/>
      <c r="E710" s="458"/>
      <c r="F710" s="458"/>
    </row>
    <row r="711" ht="15.75" customHeight="1">
      <c r="A711" s="458"/>
      <c r="B711" s="458"/>
      <c r="C711" s="458"/>
      <c r="D711" s="458"/>
      <c r="E711" s="458"/>
      <c r="F711" s="458"/>
    </row>
    <row r="712" ht="15.75" customHeight="1">
      <c r="A712" s="458"/>
      <c r="B712" s="458"/>
      <c r="C712" s="458"/>
      <c r="D712" s="458"/>
      <c r="E712" s="458"/>
      <c r="F712" s="458"/>
    </row>
    <row r="713" ht="15.75" customHeight="1">
      <c r="A713" s="458"/>
      <c r="B713" s="458"/>
      <c r="C713" s="458"/>
      <c r="D713" s="458"/>
      <c r="E713" s="458"/>
      <c r="F713" s="458"/>
    </row>
    <row r="714" ht="15.75" customHeight="1">
      <c r="A714" s="458"/>
      <c r="B714" s="458"/>
      <c r="C714" s="458"/>
      <c r="D714" s="458"/>
      <c r="E714" s="458"/>
      <c r="F714" s="458"/>
    </row>
    <row r="715" ht="15.75" customHeight="1">
      <c r="A715" s="458"/>
      <c r="B715" s="458"/>
      <c r="C715" s="458"/>
      <c r="D715" s="458"/>
      <c r="E715" s="458"/>
      <c r="F715" s="458"/>
    </row>
    <row r="716" ht="15.75" customHeight="1">
      <c r="A716" s="458"/>
      <c r="B716" s="458"/>
      <c r="C716" s="458"/>
      <c r="D716" s="458"/>
      <c r="E716" s="458"/>
      <c r="F716" s="458"/>
    </row>
    <row r="717" ht="15.75" customHeight="1">
      <c r="A717" s="458"/>
      <c r="B717" s="458"/>
      <c r="C717" s="458"/>
      <c r="D717" s="458"/>
      <c r="E717" s="458"/>
      <c r="F717" s="458"/>
    </row>
    <row r="718" ht="15.75" customHeight="1">
      <c r="A718" s="458"/>
      <c r="B718" s="458"/>
      <c r="C718" s="458"/>
      <c r="D718" s="458"/>
      <c r="E718" s="458"/>
      <c r="F718" s="458"/>
    </row>
    <row r="719" ht="15.75" customHeight="1">
      <c r="A719" s="458"/>
      <c r="B719" s="458"/>
      <c r="C719" s="458"/>
      <c r="D719" s="458"/>
      <c r="E719" s="458"/>
      <c r="F719" s="458"/>
    </row>
    <row r="720" ht="15.75" customHeight="1">
      <c r="A720" s="458"/>
      <c r="B720" s="458"/>
      <c r="C720" s="458"/>
      <c r="D720" s="458"/>
      <c r="E720" s="458"/>
      <c r="F720" s="458"/>
    </row>
    <row r="721" ht="15.75" customHeight="1">
      <c r="A721" s="458"/>
      <c r="B721" s="458"/>
      <c r="C721" s="458"/>
      <c r="D721" s="458"/>
      <c r="E721" s="458"/>
      <c r="F721" s="458"/>
    </row>
    <row r="722" ht="15.75" customHeight="1">
      <c r="A722" s="458"/>
      <c r="B722" s="458"/>
      <c r="C722" s="458"/>
      <c r="D722" s="458"/>
      <c r="E722" s="458"/>
      <c r="F722" s="458"/>
    </row>
    <row r="723" ht="15.75" customHeight="1">
      <c r="A723" s="458"/>
      <c r="B723" s="458"/>
      <c r="C723" s="458"/>
      <c r="D723" s="458"/>
      <c r="E723" s="458"/>
      <c r="F723" s="458"/>
    </row>
    <row r="724" ht="15.75" customHeight="1">
      <c r="A724" s="458"/>
      <c r="B724" s="458"/>
      <c r="C724" s="458"/>
      <c r="D724" s="458"/>
      <c r="E724" s="458"/>
      <c r="F724" s="458"/>
    </row>
    <row r="725" ht="15.75" customHeight="1">
      <c r="A725" s="458"/>
      <c r="B725" s="458"/>
      <c r="C725" s="458"/>
      <c r="D725" s="458"/>
      <c r="E725" s="458"/>
      <c r="F725" s="458"/>
    </row>
    <row r="726" ht="15.75" customHeight="1">
      <c r="A726" s="458"/>
      <c r="B726" s="458"/>
      <c r="C726" s="458"/>
      <c r="D726" s="458"/>
      <c r="E726" s="458"/>
      <c r="F726" s="458"/>
    </row>
    <row r="727" ht="15.75" customHeight="1">
      <c r="A727" s="458"/>
      <c r="B727" s="458"/>
      <c r="C727" s="458"/>
      <c r="D727" s="458"/>
      <c r="E727" s="458"/>
      <c r="F727" s="458"/>
    </row>
    <row r="728" ht="15.75" customHeight="1">
      <c r="A728" s="458"/>
      <c r="B728" s="458"/>
      <c r="C728" s="458"/>
      <c r="D728" s="458"/>
      <c r="E728" s="458"/>
      <c r="F728" s="458"/>
    </row>
    <row r="729" ht="15.75" customHeight="1">
      <c r="A729" s="458"/>
      <c r="B729" s="458"/>
      <c r="C729" s="458"/>
      <c r="D729" s="458"/>
      <c r="E729" s="458"/>
      <c r="F729" s="458"/>
    </row>
    <row r="730" ht="15.75" customHeight="1">
      <c r="A730" s="458"/>
      <c r="B730" s="458"/>
      <c r="C730" s="458"/>
      <c r="D730" s="458"/>
      <c r="E730" s="458"/>
      <c r="F730" s="458"/>
    </row>
    <row r="731" ht="15.75" customHeight="1">
      <c r="A731" s="458"/>
      <c r="B731" s="458"/>
      <c r="C731" s="458"/>
      <c r="D731" s="458"/>
      <c r="E731" s="458"/>
      <c r="F731" s="458"/>
    </row>
    <row r="732" ht="15.75" customHeight="1">
      <c r="A732" s="458"/>
      <c r="B732" s="458"/>
      <c r="C732" s="458"/>
      <c r="D732" s="458"/>
      <c r="E732" s="458"/>
      <c r="F732" s="458"/>
    </row>
    <row r="733" ht="15.75" customHeight="1">
      <c r="A733" s="458"/>
      <c r="B733" s="458"/>
      <c r="C733" s="458"/>
      <c r="D733" s="458"/>
      <c r="E733" s="458"/>
      <c r="F733" s="458"/>
    </row>
    <row r="734" ht="15.75" customHeight="1">
      <c r="A734" s="458"/>
      <c r="B734" s="458"/>
      <c r="C734" s="458"/>
      <c r="D734" s="458"/>
      <c r="E734" s="458"/>
      <c r="F734" s="458"/>
    </row>
    <row r="735" ht="15.75" customHeight="1">
      <c r="A735" s="458"/>
      <c r="B735" s="458"/>
      <c r="C735" s="458"/>
      <c r="D735" s="458"/>
      <c r="E735" s="458"/>
      <c r="F735" s="458"/>
    </row>
    <row r="736" ht="15.75" customHeight="1">
      <c r="A736" s="458"/>
      <c r="B736" s="458"/>
      <c r="C736" s="458"/>
      <c r="D736" s="458"/>
      <c r="E736" s="458"/>
      <c r="F736" s="458"/>
    </row>
    <row r="737" ht="15.75" customHeight="1">
      <c r="A737" s="458"/>
      <c r="B737" s="458"/>
      <c r="C737" s="458"/>
      <c r="D737" s="458"/>
      <c r="E737" s="458"/>
      <c r="F737" s="458"/>
    </row>
    <row r="738" ht="15.75" customHeight="1">
      <c r="A738" s="458"/>
      <c r="B738" s="458"/>
      <c r="C738" s="458"/>
      <c r="D738" s="458"/>
      <c r="E738" s="458"/>
      <c r="F738" s="458"/>
    </row>
    <row r="739" ht="15.75" customHeight="1">
      <c r="A739" s="458"/>
      <c r="B739" s="458"/>
      <c r="C739" s="458"/>
      <c r="D739" s="458"/>
      <c r="E739" s="458"/>
      <c r="F739" s="458"/>
    </row>
    <row r="740" ht="15.75" customHeight="1">
      <c r="A740" s="458"/>
      <c r="B740" s="458"/>
      <c r="C740" s="458"/>
      <c r="D740" s="458"/>
      <c r="E740" s="458"/>
      <c r="F740" s="458"/>
    </row>
    <row r="741" ht="15.75" customHeight="1">
      <c r="A741" s="458"/>
      <c r="B741" s="458"/>
      <c r="C741" s="458"/>
      <c r="D741" s="458"/>
      <c r="E741" s="458"/>
      <c r="F741" s="458"/>
    </row>
    <row r="742" ht="15.75" customHeight="1">
      <c r="A742" s="458"/>
      <c r="B742" s="458"/>
      <c r="C742" s="458"/>
      <c r="D742" s="458"/>
      <c r="E742" s="458"/>
      <c r="F742" s="458"/>
    </row>
    <row r="743" ht="15.75" customHeight="1">
      <c r="A743" s="458"/>
      <c r="B743" s="458"/>
      <c r="C743" s="458"/>
      <c r="D743" s="458"/>
      <c r="E743" s="458"/>
      <c r="F743" s="458"/>
    </row>
    <row r="744" ht="15.75" customHeight="1">
      <c r="A744" s="458"/>
      <c r="B744" s="458"/>
      <c r="C744" s="458"/>
      <c r="D744" s="458"/>
      <c r="E744" s="458"/>
      <c r="F744" s="458"/>
    </row>
    <row r="745" ht="15.75" customHeight="1">
      <c r="A745" s="458"/>
      <c r="B745" s="458"/>
      <c r="C745" s="458"/>
      <c r="D745" s="458"/>
      <c r="E745" s="458"/>
      <c r="F745" s="458"/>
    </row>
    <row r="746" ht="15.75" customHeight="1">
      <c r="A746" s="458"/>
      <c r="B746" s="458"/>
      <c r="C746" s="458"/>
      <c r="D746" s="458"/>
      <c r="E746" s="458"/>
      <c r="F746" s="458"/>
    </row>
    <row r="747" ht="15.75" customHeight="1">
      <c r="A747" s="458"/>
      <c r="B747" s="458"/>
      <c r="C747" s="458"/>
      <c r="D747" s="458"/>
      <c r="E747" s="458"/>
      <c r="F747" s="458"/>
    </row>
    <row r="748" ht="15.75" customHeight="1">
      <c r="A748" s="458"/>
      <c r="B748" s="458"/>
      <c r="C748" s="458"/>
      <c r="D748" s="458"/>
      <c r="E748" s="458"/>
      <c r="F748" s="458"/>
    </row>
    <row r="749" ht="15.75" customHeight="1">
      <c r="A749" s="458"/>
      <c r="B749" s="458"/>
      <c r="C749" s="458"/>
      <c r="D749" s="458"/>
      <c r="E749" s="458"/>
      <c r="F749" s="458"/>
    </row>
    <row r="750" ht="15.75" customHeight="1">
      <c r="A750" s="458"/>
      <c r="B750" s="458"/>
      <c r="C750" s="458"/>
      <c r="D750" s="458"/>
      <c r="E750" s="458"/>
      <c r="F750" s="458"/>
    </row>
    <row r="751" ht="15.75" customHeight="1">
      <c r="A751" s="458"/>
      <c r="B751" s="458"/>
      <c r="C751" s="458"/>
      <c r="D751" s="458"/>
      <c r="E751" s="458"/>
      <c r="F751" s="458"/>
    </row>
    <row r="752" ht="15.75" customHeight="1">
      <c r="A752" s="458"/>
      <c r="B752" s="458"/>
      <c r="C752" s="458"/>
      <c r="D752" s="458"/>
      <c r="E752" s="458"/>
      <c r="F752" s="458"/>
    </row>
    <row r="753" ht="15.75" customHeight="1">
      <c r="A753" s="458"/>
      <c r="B753" s="458"/>
      <c r="C753" s="458"/>
      <c r="D753" s="458"/>
      <c r="E753" s="458"/>
      <c r="F753" s="458"/>
    </row>
    <row r="754" ht="15.75" customHeight="1">
      <c r="A754" s="458"/>
      <c r="B754" s="458"/>
      <c r="C754" s="458"/>
      <c r="D754" s="458"/>
      <c r="E754" s="458"/>
      <c r="F754" s="458"/>
    </row>
    <row r="755" ht="15.75" customHeight="1">
      <c r="A755" s="458"/>
      <c r="B755" s="458"/>
      <c r="C755" s="458"/>
      <c r="D755" s="458"/>
      <c r="E755" s="458"/>
      <c r="F755" s="458"/>
    </row>
    <row r="756" ht="15.75" customHeight="1">
      <c r="A756" s="458"/>
      <c r="B756" s="458"/>
      <c r="C756" s="458"/>
      <c r="D756" s="458"/>
      <c r="E756" s="458"/>
      <c r="F756" s="458"/>
    </row>
    <row r="757" ht="15.75" customHeight="1">
      <c r="A757" s="458"/>
      <c r="B757" s="458"/>
      <c r="C757" s="458"/>
      <c r="D757" s="458"/>
      <c r="E757" s="458"/>
      <c r="F757" s="458"/>
    </row>
    <row r="758" ht="15.75" customHeight="1">
      <c r="A758" s="458"/>
      <c r="B758" s="458"/>
      <c r="C758" s="458"/>
      <c r="D758" s="458"/>
      <c r="E758" s="458"/>
      <c r="F758" s="458"/>
    </row>
    <row r="759" ht="15.75" customHeight="1">
      <c r="A759" s="458"/>
      <c r="B759" s="458"/>
      <c r="C759" s="458"/>
      <c r="D759" s="458"/>
      <c r="E759" s="458"/>
      <c r="F759" s="458"/>
    </row>
    <row r="760" ht="15.75" customHeight="1">
      <c r="A760" s="458"/>
      <c r="B760" s="458"/>
      <c r="C760" s="458"/>
      <c r="D760" s="458"/>
      <c r="E760" s="458"/>
      <c r="F760" s="458"/>
    </row>
    <row r="761" ht="15.75" customHeight="1">
      <c r="A761" s="458"/>
      <c r="B761" s="458"/>
      <c r="C761" s="458"/>
      <c r="D761" s="458"/>
      <c r="E761" s="458"/>
      <c r="F761" s="458"/>
    </row>
    <row r="762" ht="15.75" customHeight="1">
      <c r="A762" s="458"/>
      <c r="B762" s="458"/>
      <c r="C762" s="458"/>
      <c r="D762" s="458"/>
      <c r="E762" s="458"/>
      <c r="F762" s="458"/>
    </row>
    <row r="763" ht="15.75" customHeight="1">
      <c r="A763" s="458"/>
      <c r="B763" s="458"/>
      <c r="C763" s="458"/>
      <c r="D763" s="458"/>
      <c r="E763" s="458"/>
      <c r="F763" s="458"/>
    </row>
    <row r="764" ht="15.75" customHeight="1">
      <c r="A764" s="458"/>
      <c r="B764" s="458"/>
      <c r="C764" s="458"/>
      <c r="D764" s="458"/>
      <c r="E764" s="458"/>
      <c r="F764" s="458"/>
    </row>
    <row r="765" ht="15.75" customHeight="1">
      <c r="A765" s="458"/>
      <c r="B765" s="458"/>
      <c r="C765" s="458"/>
      <c r="D765" s="458"/>
      <c r="E765" s="458"/>
      <c r="F765" s="458"/>
    </row>
    <row r="766" ht="15.75" customHeight="1">
      <c r="A766" s="458"/>
      <c r="B766" s="458"/>
      <c r="C766" s="458"/>
      <c r="D766" s="458"/>
      <c r="E766" s="458"/>
      <c r="F766" s="458"/>
    </row>
    <row r="767" ht="15.75" customHeight="1">
      <c r="A767" s="458"/>
      <c r="B767" s="458"/>
      <c r="C767" s="458"/>
      <c r="D767" s="458"/>
      <c r="E767" s="458"/>
      <c r="F767" s="458"/>
    </row>
    <row r="768" ht="15.75" customHeight="1">
      <c r="A768" s="458"/>
      <c r="B768" s="458"/>
      <c r="C768" s="458"/>
      <c r="D768" s="458"/>
      <c r="E768" s="458"/>
      <c r="F768" s="458"/>
    </row>
    <row r="769" ht="15.75" customHeight="1">
      <c r="A769" s="458"/>
      <c r="B769" s="458"/>
      <c r="C769" s="458"/>
      <c r="D769" s="458"/>
      <c r="E769" s="458"/>
      <c r="F769" s="458"/>
    </row>
    <row r="770" ht="15.75" customHeight="1">
      <c r="A770" s="458"/>
      <c r="B770" s="458"/>
      <c r="C770" s="458"/>
      <c r="D770" s="458"/>
      <c r="E770" s="458"/>
      <c r="F770" s="458"/>
    </row>
    <row r="771" ht="15.75" customHeight="1">
      <c r="A771" s="458"/>
      <c r="B771" s="458"/>
      <c r="C771" s="458"/>
      <c r="D771" s="458"/>
      <c r="E771" s="458"/>
      <c r="F771" s="458"/>
    </row>
    <row r="772" ht="15.75" customHeight="1">
      <c r="A772" s="458"/>
      <c r="B772" s="458"/>
      <c r="C772" s="458"/>
      <c r="D772" s="458"/>
      <c r="E772" s="458"/>
      <c r="F772" s="458"/>
    </row>
    <row r="773" ht="15.75" customHeight="1">
      <c r="A773" s="458"/>
      <c r="B773" s="458"/>
      <c r="C773" s="458"/>
      <c r="D773" s="458"/>
      <c r="E773" s="458"/>
      <c r="F773" s="458"/>
    </row>
    <row r="774" ht="15.75" customHeight="1">
      <c r="A774" s="458"/>
      <c r="B774" s="458"/>
      <c r="C774" s="458"/>
      <c r="D774" s="458"/>
      <c r="E774" s="458"/>
      <c r="F774" s="458"/>
    </row>
    <row r="775" ht="15.75" customHeight="1">
      <c r="A775" s="458"/>
      <c r="B775" s="458"/>
      <c r="C775" s="458"/>
      <c r="D775" s="458"/>
      <c r="E775" s="458"/>
      <c r="F775" s="458"/>
    </row>
    <row r="776" ht="15.75" customHeight="1">
      <c r="A776" s="458"/>
      <c r="B776" s="458"/>
      <c r="C776" s="458"/>
      <c r="D776" s="458"/>
      <c r="E776" s="458"/>
      <c r="F776" s="458"/>
    </row>
    <row r="777" ht="15.75" customHeight="1">
      <c r="A777" s="458"/>
      <c r="B777" s="458"/>
      <c r="C777" s="458"/>
      <c r="D777" s="458"/>
      <c r="E777" s="458"/>
      <c r="F777" s="458"/>
    </row>
    <row r="778" ht="15.75" customHeight="1">
      <c r="A778" s="458"/>
      <c r="B778" s="458"/>
      <c r="C778" s="458"/>
      <c r="D778" s="458"/>
      <c r="E778" s="458"/>
      <c r="F778" s="458"/>
    </row>
    <row r="779" ht="15.75" customHeight="1">
      <c r="A779" s="458"/>
      <c r="B779" s="458"/>
      <c r="C779" s="458"/>
      <c r="D779" s="458"/>
      <c r="E779" s="458"/>
      <c r="F779" s="458"/>
    </row>
    <row r="780" ht="15.75" customHeight="1">
      <c r="A780" s="458"/>
      <c r="B780" s="458"/>
      <c r="C780" s="458"/>
      <c r="D780" s="458"/>
      <c r="E780" s="458"/>
      <c r="F780" s="458"/>
    </row>
    <row r="781" ht="15.75" customHeight="1">
      <c r="A781" s="458"/>
      <c r="B781" s="458"/>
      <c r="C781" s="458"/>
      <c r="D781" s="458"/>
      <c r="E781" s="458"/>
      <c r="F781" s="458"/>
    </row>
    <row r="782" ht="15.75" customHeight="1">
      <c r="A782" s="458"/>
      <c r="B782" s="458"/>
      <c r="C782" s="458"/>
      <c r="D782" s="458"/>
      <c r="E782" s="458"/>
      <c r="F782" s="458"/>
    </row>
    <row r="783" ht="15.75" customHeight="1">
      <c r="A783" s="458"/>
      <c r="B783" s="458"/>
      <c r="C783" s="458"/>
      <c r="D783" s="458"/>
      <c r="E783" s="458"/>
      <c r="F783" s="458"/>
    </row>
    <row r="784" ht="15.75" customHeight="1">
      <c r="A784" s="458"/>
      <c r="B784" s="458"/>
      <c r="C784" s="458"/>
      <c r="D784" s="458"/>
      <c r="E784" s="458"/>
      <c r="F784" s="458"/>
    </row>
    <row r="785" ht="15.75" customHeight="1">
      <c r="A785" s="458"/>
      <c r="B785" s="458"/>
      <c r="C785" s="458"/>
      <c r="D785" s="458"/>
      <c r="E785" s="458"/>
      <c r="F785" s="458"/>
    </row>
    <row r="786" ht="15.75" customHeight="1">
      <c r="A786" s="458"/>
      <c r="B786" s="458"/>
      <c r="C786" s="458"/>
      <c r="D786" s="458"/>
      <c r="E786" s="458"/>
      <c r="F786" s="458"/>
    </row>
    <row r="787" ht="15.75" customHeight="1">
      <c r="A787" s="458"/>
      <c r="B787" s="458"/>
      <c r="C787" s="458"/>
      <c r="D787" s="458"/>
      <c r="E787" s="458"/>
      <c r="F787" s="458"/>
    </row>
    <row r="788" ht="15.75" customHeight="1">
      <c r="A788" s="458"/>
      <c r="B788" s="458"/>
      <c r="C788" s="458"/>
      <c r="D788" s="458"/>
      <c r="E788" s="458"/>
      <c r="F788" s="458"/>
    </row>
    <row r="789" ht="15.75" customHeight="1">
      <c r="A789" s="458"/>
      <c r="B789" s="458"/>
      <c r="C789" s="458"/>
      <c r="D789" s="458"/>
      <c r="E789" s="458"/>
      <c r="F789" s="458"/>
    </row>
    <row r="790" ht="15.75" customHeight="1">
      <c r="A790" s="458"/>
      <c r="B790" s="458"/>
      <c r="C790" s="458"/>
      <c r="D790" s="458"/>
      <c r="E790" s="458"/>
      <c r="F790" s="458"/>
    </row>
    <row r="791" ht="15.75" customHeight="1">
      <c r="A791" s="458"/>
      <c r="B791" s="458"/>
      <c r="C791" s="458"/>
      <c r="D791" s="458"/>
      <c r="E791" s="458"/>
      <c r="F791" s="458"/>
    </row>
    <row r="792" ht="15.75" customHeight="1">
      <c r="A792" s="458"/>
      <c r="B792" s="458"/>
      <c r="C792" s="458"/>
      <c r="D792" s="458"/>
      <c r="E792" s="458"/>
      <c r="F792" s="458"/>
    </row>
    <row r="793" ht="15.75" customHeight="1">
      <c r="A793" s="458"/>
      <c r="B793" s="458"/>
      <c r="C793" s="458"/>
      <c r="D793" s="458"/>
      <c r="E793" s="458"/>
      <c r="F793" s="458"/>
    </row>
    <row r="794" ht="15.75" customHeight="1">
      <c r="A794" s="458"/>
      <c r="B794" s="458"/>
      <c r="C794" s="458"/>
      <c r="D794" s="458"/>
      <c r="E794" s="458"/>
      <c r="F794" s="458"/>
    </row>
    <row r="795" ht="15.75" customHeight="1">
      <c r="A795" s="458"/>
      <c r="B795" s="458"/>
      <c r="C795" s="458"/>
      <c r="D795" s="458"/>
      <c r="E795" s="458"/>
      <c r="F795" s="458"/>
    </row>
    <row r="796" ht="15.75" customHeight="1">
      <c r="A796" s="458"/>
      <c r="B796" s="458"/>
      <c r="C796" s="458"/>
      <c r="D796" s="458"/>
      <c r="E796" s="458"/>
      <c r="F796" s="458"/>
    </row>
    <row r="797" ht="15.75" customHeight="1">
      <c r="A797" s="458"/>
      <c r="B797" s="458"/>
      <c r="C797" s="458"/>
      <c r="D797" s="458"/>
      <c r="E797" s="458"/>
      <c r="F797" s="458"/>
    </row>
    <row r="798" ht="15.75" customHeight="1">
      <c r="A798" s="458"/>
      <c r="B798" s="458"/>
      <c r="C798" s="458"/>
      <c r="D798" s="458"/>
      <c r="E798" s="458"/>
      <c r="F798" s="458"/>
    </row>
    <row r="799" ht="15.75" customHeight="1">
      <c r="A799" s="458"/>
      <c r="B799" s="458"/>
      <c r="C799" s="458"/>
      <c r="D799" s="458"/>
      <c r="E799" s="458"/>
      <c r="F799" s="458"/>
    </row>
    <row r="800" ht="15.75" customHeight="1">
      <c r="A800" s="458"/>
      <c r="B800" s="458"/>
      <c r="C800" s="458"/>
      <c r="D800" s="458"/>
      <c r="E800" s="458"/>
      <c r="F800" s="458"/>
    </row>
    <row r="801" ht="15.75" customHeight="1">
      <c r="A801" s="458"/>
      <c r="B801" s="458"/>
      <c r="C801" s="458"/>
      <c r="D801" s="458"/>
      <c r="E801" s="458"/>
      <c r="F801" s="458"/>
    </row>
    <row r="802" ht="15.75" customHeight="1">
      <c r="A802" s="458"/>
      <c r="B802" s="458"/>
      <c r="C802" s="458"/>
      <c r="D802" s="458"/>
      <c r="E802" s="458"/>
      <c r="F802" s="458"/>
    </row>
    <row r="803" ht="15.75" customHeight="1">
      <c r="A803" s="458"/>
      <c r="B803" s="458"/>
      <c r="C803" s="458"/>
      <c r="D803" s="458"/>
      <c r="E803" s="458"/>
      <c r="F803" s="458"/>
    </row>
    <row r="804" ht="15.75" customHeight="1">
      <c r="A804" s="458"/>
      <c r="B804" s="458"/>
      <c r="C804" s="458"/>
      <c r="D804" s="458"/>
      <c r="E804" s="458"/>
      <c r="F804" s="458"/>
    </row>
    <row r="805" ht="15.75" customHeight="1">
      <c r="A805" s="458"/>
      <c r="B805" s="458"/>
      <c r="C805" s="458"/>
      <c r="D805" s="458"/>
      <c r="E805" s="458"/>
      <c r="F805" s="458"/>
    </row>
    <row r="806" ht="15.75" customHeight="1">
      <c r="A806" s="458"/>
      <c r="B806" s="458"/>
      <c r="C806" s="458"/>
      <c r="D806" s="458"/>
      <c r="E806" s="458"/>
      <c r="F806" s="458"/>
    </row>
    <row r="807" ht="15.75" customHeight="1">
      <c r="A807" s="458"/>
      <c r="B807" s="458"/>
      <c r="C807" s="458"/>
      <c r="D807" s="458"/>
      <c r="E807" s="458"/>
      <c r="F807" s="458"/>
    </row>
    <row r="808" ht="15.75" customHeight="1">
      <c r="A808" s="458"/>
      <c r="B808" s="458"/>
      <c r="C808" s="458"/>
      <c r="D808" s="458"/>
      <c r="E808" s="458"/>
      <c r="F808" s="458"/>
    </row>
    <row r="809" ht="15.75" customHeight="1">
      <c r="A809" s="458"/>
      <c r="B809" s="458"/>
      <c r="C809" s="458"/>
      <c r="D809" s="458"/>
      <c r="E809" s="458"/>
      <c r="F809" s="458"/>
    </row>
    <row r="810" ht="15.75" customHeight="1">
      <c r="A810" s="458"/>
      <c r="B810" s="458"/>
      <c r="C810" s="458"/>
      <c r="D810" s="458"/>
      <c r="E810" s="458"/>
      <c r="F810" s="458"/>
    </row>
    <row r="811" ht="15.75" customHeight="1">
      <c r="A811" s="458"/>
      <c r="B811" s="458"/>
      <c r="C811" s="458"/>
      <c r="D811" s="458"/>
      <c r="E811" s="458"/>
      <c r="F811" s="458"/>
    </row>
    <row r="812" ht="15.75" customHeight="1">
      <c r="A812" s="458"/>
      <c r="B812" s="458"/>
      <c r="C812" s="458"/>
      <c r="D812" s="458"/>
      <c r="E812" s="458"/>
      <c r="F812" s="458"/>
    </row>
    <row r="813" ht="15.75" customHeight="1">
      <c r="A813" s="458"/>
      <c r="B813" s="458"/>
      <c r="C813" s="458"/>
      <c r="D813" s="458"/>
      <c r="E813" s="458"/>
      <c r="F813" s="458"/>
    </row>
    <row r="814" ht="15.75" customHeight="1">
      <c r="A814" s="458"/>
      <c r="B814" s="458"/>
      <c r="C814" s="458"/>
      <c r="D814" s="458"/>
      <c r="E814" s="458"/>
      <c r="F814" s="458"/>
    </row>
    <row r="815" ht="15.75" customHeight="1">
      <c r="A815" s="458"/>
      <c r="B815" s="458"/>
      <c r="C815" s="458"/>
      <c r="D815" s="458"/>
      <c r="E815" s="458"/>
      <c r="F815" s="458"/>
    </row>
    <row r="816" ht="15.75" customHeight="1">
      <c r="A816" s="458"/>
      <c r="B816" s="458"/>
      <c r="C816" s="458"/>
      <c r="D816" s="458"/>
      <c r="E816" s="458"/>
      <c r="F816" s="458"/>
    </row>
    <row r="817" ht="15.75" customHeight="1">
      <c r="A817" s="458"/>
      <c r="B817" s="458"/>
      <c r="C817" s="458"/>
      <c r="D817" s="458"/>
      <c r="E817" s="458"/>
      <c r="F817" s="458"/>
    </row>
    <row r="818" ht="15.75" customHeight="1">
      <c r="A818" s="458"/>
      <c r="B818" s="458"/>
      <c r="C818" s="458"/>
      <c r="D818" s="458"/>
      <c r="E818" s="458"/>
      <c r="F818" s="458"/>
    </row>
    <row r="819" ht="15.75" customHeight="1">
      <c r="A819" s="458"/>
      <c r="B819" s="458"/>
      <c r="C819" s="458"/>
      <c r="D819" s="458"/>
      <c r="E819" s="458"/>
      <c r="F819" s="458"/>
    </row>
    <row r="820" ht="15.75" customHeight="1">
      <c r="A820" s="458"/>
      <c r="B820" s="458"/>
      <c r="C820" s="458"/>
      <c r="D820" s="458"/>
      <c r="E820" s="458"/>
      <c r="F820" s="458"/>
    </row>
    <row r="821" ht="15.75" customHeight="1">
      <c r="A821" s="458"/>
      <c r="B821" s="458"/>
      <c r="C821" s="458"/>
      <c r="D821" s="458"/>
      <c r="E821" s="458"/>
      <c r="F821" s="458"/>
    </row>
    <row r="822" ht="15.75" customHeight="1">
      <c r="A822" s="458"/>
      <c r="B822" s="458"/>
      <c r="C822" s="458"/>
      <c r="D822" s="458"/>
      <c r="E822" s="458"/>
      <c r="F822" s="458"/>
    </row>
    <row r="823" ht="15.75" customHeight="1">
      <c r="A823" s="458"/>
      <c r="B823" s="458"/>
      <c r="C823" s="458"/>
      <c r="D823" s="458"/>
      <c r="E823" s="458"/>
      <c r="F823" s="458"/>
    </row>
    <row r="824" ht="15.75" customHeight="1">
      <c r="A824" s="458"/>
      <c r="B824" s="458"/>
      <c r="C824" s="458"/>
      <c r="D824" s="458"/>
      <c r="E824" s="458"/>
      <c r="F824" s="458"/>
    </row>
    <row r="825" ht="15.75" customHeight="1">
      <c r="A825" s="458"/>
      <c r="B825" s="458"/>
      <c r="C825" s="458"/>
      <c r="D825" s="458"/>
      <c r="E825" s="458"/>
      <c r="F825" s="458"/>
    </row>
    <row r="826" ht="15.75" customHeight="1">
      <c r="A826" s="458"/>
      <c r="B826" s="458"/>
      <c r="C826" s="458"/>
      <c r="D826" s="458"/>
      <c r="E826" s="458"/>
      <c r="F826" s="458"/>
    </row>
    <row r="827" ht="15.75" customHeight="1">
      <c r="A827" s="458"/>
      <c r="B827" s="458"/>
      <c r="C827" s="458"/>
      <c r="D827" s="458"/>
      <c r="E827" s="458"/>
      <c r="F827" s="458"/>
    </row>
    <row r="828" ht="15.75" customHeight="1">
      <c r="A828" s="458"/>
      <c r="B828" s="458"/>
      <c r="C828" s="458"/>
      <c r="D828" s="458"/>
      <c r="E828" s="458"/>
      <c r="F828" s="458"/>
    </row>
    <row r="829" ht="15.75" customHeight="1">
      <c r="A829" s="458"/>
      <c r="B829" s="458"/>
      <c r="C829" s="458"/>
      <c r="D829" s="458"/>
      <c r="E829" s="458"/>
      <c r="F829" s="458"/>
    </row>
    <row r="830" ht="15.75" customHeight="1">
      <c r="A830" s="458"/>
      <c r="B830" s="458"/>
      <c r="C830" s="458"/>
      <c r="D830" s="458"/>
      <c r="E830" s="458"/>
      <c r="F830" s="458"/>
    </row>
    <row r="831" ht="15.75" customHeight="1">
      <c r="A831" s="458"/>
      <c r="B831" s="458"/>
      <c r="C831" s="458"/>
      <c r="D831" s="458"/>
      <c r="E831" s="458"/>
      <c r="F831" s="458"/>
    </row>
    <row r="832" ht="15.75" customHeight="1">
      <c r="A832" s="458"/>
      <c r="B832" s="458"/>
      <c r="C832" s="458"/>
      <c r="D832" s="458"/>
      <c r="E832" s="458"/>
      <c r="F832" s="458"/>
    </row>
    <row r="833" ht="15.75" customHeight="1">
      <c r="A833" s="458"/>
      <c r="B833" s="458"/>
      <c r="C833" s="458"/>
      <c r="D833" s="458"/>
      <c r="E833" s="458"/>
      <c r="F833" s="458"/>
    </row>
    <row r="834" ht="15.75" customHeight="1">
      <c r="A834" s="458"/>
      <c r="B834" s="458"/>
      <c r="C834" s="458"/>
      <c r="D834" s="458"/>
      <c r="E834" s="458"/>
      <c r="F834" s="458"/>
    </row>
    <row r="835" ht="15.75" customHeight="1">
      <c r="A835" s="458"/>
      <c r="B835" s="458"/>
      <c r="C835" s="458"/>
      <c r="D835" s="458"/>
      <c r="E835" s="458"/>
      <c r="F835" s="458"/>
    </row>
    <row r="836" ht="15.75" customHeight="1">
      <c r="A836" s="458"/>
      <c r="B836" s="458"/>
      <c r="C836" s="458"/>
      <c r="D836" s="458"/>
      <c r="E836" s="458"/>
      <c r="F836" s="458"/>
    </row>
    <row r="837" ht="15.75" customHeight="1">
      <c r="A837" s="458"/>
      <c r="B837" s="458"/>
      <c r="C837" s="458"/>
      <c r="D837" s="458"/>
      <c r="E837" s="458"/>
      <c r="F837" s="458"/>
    </row>
    <row r="838" ht="15.75" customHeight="1">
      <c r="A838" s="458"/>
      <c r="B838" s="458"/>
      <c r="C838" s="458"/>
      <c r="D838" s="458"/>
      <c r="E838" s="458"/>
      <c r="F838" s="458"/>
    </row>
    <row r="839" ht="15.75" customHeight="1">
      <c r="A839" s="458"/>
      <c r="B839" s="458"/>
      <c r="C839" s="458"/>
      <c r="D839" s="458"/>
      <c r="E839" s="458"/>
      <c r="F839" s="458"/>
    </row>
    <row r="840" ht="15.75" customHeight="1">
      <c r="A840" s="458"/>
      <c r="B840" s="458"/>
      <c r="C840" s="458"/>
      <c r="D840" s="458"/>
      <c r="E840" s="458"/>
      <c r="F840" s="458"/>
    </row>
    <row r="841" ht="15.75" customHeight="1">
      <c r="A841" s="458"/>
      <c r="B841" s="458"/>
      <c r="C841" s="458"/>
      <c r="D841" s="458"/>
      <c r="E841" s="458"/>
      <c r="F841" s="458"/>
    </row>
    <row r="842" ht="15.75" customHeight="1">
      <c r="A842" s="458"/>
      <c r="B842" s="458"/>
      <c r="C842" s="458"/>
      <c r="D842" s="458"/>
      <c r="E842" s="458"/>
      <c r="F842" s="458"/>
    </row>
    <row r="843" ht="15.75" customHeight="1">
      <c r="A843" s="458"/>
      <c r="B843" s="458"/>
      <c r="C843" s="458"/>
      <c r="D843" s="458"/>
      <c r="E843" s="458"/>
      <c r="F843" s="458"/>
    </row>
    <row r="844" ht="15.75" customHeight="1">
      <c r="A844" s="458"/>
      <c r="B844" s="458"/>
      <c r="C844" s="458"/>
      <c r="D844" s="458"/>
      <c r="E844" s="458"/>
      <c r="F844" s="458"/>
    </row>
    <row r="845" ht="15.75" customHeight="1">
      <c r="A845" s="458"/>
      <c r="B845" s="458"/>
      <c r="C845" s="458"/>
      <c r="D845" s="458"/>
      <c r="E845" s="458"/>
      <c r="F845" s="458"/>
    </row>
    <row r="846" ht="15.75" customHeight="1">
      <c r="A846" s="458"/>
      <c r="B846" s="458"/>
      <c r="C846" s="458"/>
      <c r="D846" s="458"/>
      <c r="E846" s="458"/>
      <c r="F846" s="458"/>
    </row>
    <row r="847" ht="15.75" customHeight="1">
      <c r="A847" s="458"/>
      <c r="B847" s="458"/>
      <c r="C847" s="458"/>
      <c r="D847" s="458"/>
      <c r="E847" s="458"/>
      <c r="F847" s="458"/>
    </row>
    <row r="848" ht="15.75" customHeight="1">
      <c r="A848" s="458"/>
      <c r="B848" s="458"/>
      <c r="C848" s="458"/>
      <c r="D848" s="458"/>
      <c r="E848" s="458"/>
      <c r="F848" s="458"/>
    </row>
    <row r="849" ht="15.75" customHeight="1">
      <c r="A849" s="458"/>
      <c r="B849" s="458"/>
      <c r="C849" s="458"/>
      <c r="D849" s="458"/>
      <c r="E849" s="458"/>
      <c r="F849" s="458"/>
    </row>
    <row r="850" ht="15.75" customHeight="1">
      <c r="A850" s="458"/>
      <c r="B850" s="458"/>
      <c r="C850" s="458"/>
      <c r="D850" s="458"/>
      <c r="E850" s="458"/>
      <c r="F850" s="458"/>
    </row>
    <row r="851" ht="15.75" customHeight="1">
      <c r="A851" s="458"/>
      <c r="B851" s="458"/>
      <c r="C851" s="458"/>
      <c r="D851" s="458"/>
      <c r="E851" s="458"/>
      <c r="F851" s="458"/>
    </row>
    <row r="852" ht="15.75" customHeight="1">
      <c r="A852" s="458"/>
      <c r="B852" s="458"/>
      <c r="C852" s="458"/>
      <c r="D852" s="458"/>
      <c r="E852" s="458"/>
      <c r="F852" s="458"/>
    </row>
    <row r="853" ht="15.75" customHeight="1">
      <c r="A853" s="458"/>
      <c r="B853" s="458"/>
      <c r="C853" s="458"/>
      <c r="D853" s="458"/>
      <c r="E853" s="458"/>
      <c r="F853" s="458"/>
    </row>
    <row r="854" ht="15.75" customHeight="1">
      <c r="A854" s="458"/>
      <c r="B854" s="458"/>
      <c r="C854" s="458"/>
      <c r="D854" s="458"/>
      <c r="E854" s="458"/>
      <c r="F854" s="458"/>
    </row>
    <row r="855" ht="15.75" customHeight="1">
      <c r="A855" s="458"/>
      <c r="B855" s="458"/>
      <c r="C855" s="458"/>
      <c r="D855" s="458"/>
      <c r="E855" s="458"/>
      <c r="F855" s="458"/>
    </row>
    <row r="856" ht="15.75" customHeight="1">
      <c r="A856" s="458"/>
      <c r="B856" s="458"/>
      <c r="C856" s="458"/>
      <c r="D856" s="458"/>
      <c r="E856" s="458"/>
      <c r="F856" s="458"/>
    </row>
    <row r="857" ht="15.75" customHeight="1">
      <c r="A857" s="458"/>
      <c r="B857" s="458"/>
      <c r="C857" s="458"/>
      <c r="D857" s="458"/>
      <c r="E857" s="458"/>
      <c r="F857" s="458"/>
    </row>
    <row r="858" ht="15.75" customHeight="1">
      <c r="A858" s="458"/>
      <c r="B858" s="458"/>
      <c r="C858" s="458"/>
      <c r="D858" s="458"/>
      <c r="E858" s="458"/>
      <c r="F858" s="458"/>
    </row>
    <row r="859" ht="15.75" customHeight="1">
      <c r="A859" s="458"/>
      <c r="B859" s="458"/>
      <c r="C859" s="458"/>
      <c r="D859" s="458"/>
      <c r="E859" s="458"/>
      <c r="F859" s="458"/>
    </row>
    <row r="860" ht="15.75" customHeight="1">
      <c r="A860" s="458"/>
      <c r="B860" s="458"/>
      <c r="C860" s="458"/>
      <c r="D860" s="458"/>
      <c r="E860" s="458"/>
      <c r="F860" s="458"/>
    </row>
    <row r="861" ht="15.75" customHeight="1">
      <c r="A861" s="458"/>
      <c r="B861" s="458"/>
      <c r="C861" s="458"/>
      <c r="D861" s="458"/>
      <c r="E861" s="458"/>
      <c r="F861" s="458"/>
    </row>
    <row r="862" ht="15.75" customHeight="1">
      <c r="A862" s="458"/>
      <c r="B862" s="458"/>
      <c r="C862" s="458"/>
      <c r="D862" s="458"/>
      <c r="E862" s="458"/>
      <c r="F862" s="458"/>
    </row>
    <row r="863" ht="15.75" customHeight="1">
      <c r="A863" s="458"/>
      <c r="B863" s="458"/>
      <c r="C863" s="458"/>
      <c r="D863" s="458"/>
      <c r="E863" s="458"/>
      <c r="F863" s="458"/>
    </row>
    <row r="864" ht="15.75" customHeight="1">
      <c r="A864" s="458"/>
      <c r="B864" s="458"/>
      <c r="C864" s="458"/>
      <c r="D864" s="458"/>
      <c r="E864" s="458"/>
      <c r="F864" s="458"/>
    </row>
    <row r="865" ht="15.75" customHeight="1">
      <c r="A865" s="458"/>
      <c r="B865" s="458"/>
      <c r="C865" s="458"/>
      <c r="D865" s="458"/>
      <c r="E865" s="458"/>
      <c r="F865" s="458"/>
    </row>
    <row r="866" ht="15.75" customHeight="1">
      <c r="A866" s="458"/>
      <c r="B866" s="458"/>
      <c r="C866" s="458"/>
      <c r="D866" s="458"/>
      <c r="E866" s="458"/>
      <c r="F866" s="458"/>
    </row>
    <row r="867" ht="15.75" customHeight="1">
      <c r="A867" s="458"/>
      <c r="B867" s="458"/>
      <c r="C867" s="458"/>
      <c r="D867" s="458"/>
      <c r="E867" s="458"/>
      <c r="F867" s="458"/>
    </row>
    <row r="868" ht="15.75" customHeight="1">
      <c r="A868" s="458"/>
      <c r="B868" s="458"/>
      <c r="C868" s="458"/>
      <c r="D868" s="458"/>
      <c r="E868" s="458"/>
      <c r="F868" s="458"/>
    </row>
    <row r="869" ht="15.75" customHeight="1">
      <c r="A869" s="458"/>
      <c r="B869" s="458"/>
      <c r="C869" s="458"/>
      <c r="D869" s="458"/>
      <c r="E869" s="458"/>
      <c r="F869" s="458"/>
    </row>
    <row r="870" ht="15.75" customHeight="1">
      <c r="A870" s="458"/>
      <c r="B870" s="458"/>
      <c r="C870" s="458"/>
      <c r="D870" s="458"/>
      <c r="E870" s="458"/>
      <c r="F870" s="458"/>
    </row>
    <row r="871" ht="15.75" customHeight="1">
      <c r="A871" s="458"/>
      <c r="B871" s="458"/>
      <c r="C871" s="458"/>
      <c r="D871" s="458"/>
      <c r="E871" s="458"/>
      <c r="F871" s="458"/>
    </row>
    <row r="872" ht="15.75" customHeight="1">
      <c r="A872" s="458"/>
      <c r="B872" s="458"/>
      <c r="C872" s="458"/>
      <c r="D872" s="458"/>
      <c r="E872" s="458"/>
      <c r="F872" s="458"/>
    </row>
    <row r="873" ht="15.75" customHeight="1">
      <c r="A873" s="458"/>
      <c r="B873" s="458"/>
      <c r="C873" s="458"/>
      <c r="D873" s="458"/>
      <c r="E873" s="458"/>
      <c r="F873" s="458"/>
    </row>
    <row r="874" ht="15.75" customHeight="1">
      <c r="A874" s="458"/>
      <c r="B874" s="458"/>
      <c r="C874" s="458"/>
      <c r="D874" s="458"/>
      <c r="E874" s="458"/>
      <c r="F874" s="458"/>
    </row>
    <row r="875" ht="15.75" customHeight="1">
      <c r="A875" s="458"/>
      <c r="B875" s="458"/>
      <c r="C875" s="458"/>
      <c r="D875" s="458"/>
      <c r="E875" s="458"/>
      <c r="F875" s="458"/>
    </row>
    <row r="876" ht="15.75" customHeight="1">
      <c r="A876" s="458"/>
      <c r="B876" s="458"/>
      <c r="C876" s="458"/>
      <c r="D876" s="458"/>
      <c r="E876" s="458"/>
      <c r="F876" s="458"/>
    </row>
    <row r="877" ht="15.75" customHeight="1">
      <c r="A877" s="458"/>
      <c r="B877" s="458"/>
      <c r="C877" s="458"/>
      <c r="D877" s="458"/>
      <c r="E877" s="458"/>
      <c r="F877" s="458"/>
    </row>
    <row r="878" ht="15.75" customHeight="1">
      <c r="A878" s="458"/>
      <c r="B878" s="458"/>
      <c r="C878" s="458"/>
      <c r="D878" s="458"/>
      <c r="E878" s="458"/>
      <c r="F878" s="458"/>
    </row>
    <row r="879" ht="15.75" customHeight="1">
      <c r="A879" s="458"/>
      <c r="B879" s="458"/>
      <c r="C879" s="458"/>
      <c r="D879" s="458"/>
      <c r="E879" s="458"/>
      <c r="F879" s="458"/>
    </row>
    <row r="880" ht="15.75" customHeight="1">
      <c r="A880" s="458"/>
      <c r="B880" s="458"/>
      <c r="C880" s="458"/>
      <c r="D880" s="458"/>
      <c r="E880" s="458"/>
      <c r="F880" s="458"/>
    </row>
    <row r="881" ht="15.75" customHeight="1">
      <c r="A881" s="458"/>
      <c r="B881" s="458"/>
      <c r="C881" s="458"/>
      <c r="D881" s="458"/>
      <c r="E881" s="458"/>
      <c r="F881" s="458"/>
    </row>
    <row r="882" ht="15.75" customHeight="1">
      <c r="A882" s="458"/>
      <c r="B882" s="458"/>
      <c r="C882" s="458"/>
      <c r="D882" s="458"/>
      <c r="E882" s="458"/>
      <c r="F882" s="458"/>
    </row>
    <row r="883" ht="15.75" customHeight="1">
      <c r="A883" s="458"/>
      <c r="B883" s="458"/>
      <c r="C883" s="458"/>
      <c r="D883" s="458"/>
      <c r="E883" s="458"/>
      <c r="F883" s="458"/>
    </row>
    <row r="884" ht="15.75" customHeight="1">
      <c r="A884" s="458"/>
      <c r="B884" s="458"/>
      <c r="C884" s="458"/>
      <c r="D884" s="458"/>
      <c r="E884" s="458"/>
      <c r="F884" s="458"/>
    </row>
    <row r="885" ht="15.75" customHeight="1">
      <c r="A885" s="458"/>
      <c r="B885" s="458"/>
      <c r="C885" s="458"/>
      <c r="D885" s="458"/>
      <c r="E885" s="458"/>
      <c r="F885" s="458"/>
    </row>
    <row r="886" ht="15.75" customHeight="1">
      <c r="A886" s="458"/>
      <c r="B886" s="458"/>
      <c r="C886" s="458"/>
      <c r="D886" s="458"/>
      <c r="E886" s="458"/>
      <c r="F886" s="458"/>
    </row>
    <row r="887" ht="15.75" customHeight="1">
      <c r="A887" s="458"/>
      <c r="B887" s="458"/>
      <c r="C887" s="458"/>
      <c r="D887" s="458"/>
      <c r="E887" s="458"/>
      <c r="F887" s="458"/>
    </row>
    <row r="888" ht="15.75" customHeight="1">
      <c r="A888" s="458"/>
      <c r="B888" s="458"/>
      <c r="C888" s="458"/>
      <c r="D888" s="458"/>
      <c r="E888" s="458"/>
      <c r="F888" s="458"/>
    </row>
    <row r="889" ht="15.75" customHeight="1">
      <c r="A889" s="458"/>
      <c r="B889" s="458"/>
      <c r="C889" s="458"/>
      <c r="D889" s="458"/>
      <c r="E889" s="458"/>
      <c r="F889" s="458"/>
    </row>
    <row r="890" ht="15.75" customHeight="1">
      <c r="A890" s="458"/>
      <c r="B890" s="458"/>
      <c r="C890" s="458"/>
      <c r="D890" s="458"/>
      <c r="E890" s="458"/>
      <c r="F890" s="458"/>
    </row>
    <row r="891" ht="15.75" customHeight="1">
      <c r="A891" s="458"/>
      <c r="B891" s="458"/>
      <c r="C891" s="458"/>
      <c r="D891" s="458"/>
      <c r="E891" s="458"/>
      <c r="F891" s="458"/>
    </row>
    <row r="892" ht="15.75" customHeight="1">
      <c r="A892" s="458"/>
      <c r="B892" s="458"/>
      <c r="C892" s="458"/>
      <c r="D892" s="458"/>
      <c r="E892" s="458"/>
      <c r="F892" s="458"/>
    </row>
    <row r="893" ht="15.75" customHeight="1">
      <c r="A893" s="458"/>
      <c r="B893" s="458"/>
      <c r="C893" s="458"/>
      <c r="D893" s="458"/>
      <c r="E893" s="458"/>
      <c r="F893" s="458"/>
    </row>
    <row r="894" ht="15.75" customHeight="1">
      <c r="A894" s="458"/>
      <c r="B894" s="458"/>
      <c r="C894" s="458"/>
      <c r="D894" s="458"/>
      <c r="E894" s="458"/>
      <c r="F894" s="458"/>
    </row>
    <row r="895" ht="15.75" customHeight="1">
      <c r="A895" s="458"/>
      <c r="B895" s="458"/>
      <c r="C895" s="458"/>
      <c r="D895" s="458"/>
      <c r="E895" s="458"/>
      <c r="F895" s="458"/>
    </row>
    <row r="896" ht="15.75" customHeight="1">
      <c r="A896" s="458"/>
      <c r="B896" s="458"/>
      <c r="C896" s="458"/>
      <c r="D896" s="458"/>
      <c r="E896" s="458"/>
      <c r="F896" s="458"/>
    </row>
    <row r="897" ht="15.75" customHeight="1">
      <c r="A897" s="458"/>
      <c r="B897" s="458"/>
      <c r="C897" s="458"/>
      <c r="D897" s="458"/>
      <c r="E897" s="458"/>
      <c r="F897" s="458"/>
    </row>
    <row r="898" ht="15.75" customHeight="1">
      <c r="A898" s="458"/>
      <c r="B898" s="458"/>
      <c r="C898" s="458"/>
      <c r="D898" s="458"/>
      <c r="E898" s="458"/>
      <c r="F898" s="458"/>
    </row>
    <row r="899" ht="15.75" customHeight="1">
      <c r="A899" s="458"/>
      <c r="B899" s="458"/>
      <c r="C899" s="458"/>
      <c r="D899" s="458"/>
      <c r="E899" s="458"/>
      <c r="F899" s="458"/>
    </row>
    <row r="900" ht="15.75" customHeight="1">
      <c r="A900" s="458"/>
      <c r="B900" s="458"/>
      <c r="C900" s="458"/>
      <c r="D900" s="458"/>
      <c r="E900" s="458"/>
      <c r="F900" s="458"/>
    </row>
    <row r="901" ht="15.75" customHeight="1">
      <c r="A901" s="458"/>
      <c r="B901" s="458"/>
      <c r="C901" s="458"/>
      <c r="D901" s="458"/>
      <c r="E901" s="458"/>
      <c r="F901" s="458"/>
    </row>
    <row r="902" ht="15.75" customHeight="1">
      <c r="A902" s="458"/>
      <c r="B902" s="458"/>
      <c r="C902" s="458"/>
      <c r="D902" s="458"/>
      <c r="E902" s="458"/>
      <c r="F902" s="458"/>
    </row>
    <row r="903" ht="15.75" customHeight="1">
      <c r="A903" s="458"/>
      <c r="B903" s="458"/>
      <c r="C903" s="458"/>
      <c r="D903" s="458"/>
      <c r="E903" s="458"/>
      <c r="F903" s="458"/>
    </row>
    <row r="904" ht="15.75" customHeight="1">
      <c r="A904" s="458"/>
      <c r="B904" s="458"/>
      <c r="C904" s="458"/>
      <c r="D904" s="458"/>
      <c r="E904" s="458"/>
      <c r="F904" s="458"/>
    </row>
    <row r="905" ht="15.75" customHeight="1">
      <c r="A905" s="458"/>
      <c r="B905" s="458"/>
      <c r="C905" s="458"/>
      <c r="D905" s="458"/>
      <c r="E905" s="458"/>
      <c r="F905" s="458"/>
    </row>
    <row r="906" ht="15.75" customHeight="1">
      <c r="A906" s="458"/>
      <c r="B906" s="458"/>
      <c r="C906" s="458"/>
      <c r="D906" s="458"/>
      <c r="E906" s="458"/>
      <c r="F906" s="458"/>
    </row>
    <row r="907" ht="15.75" customHeight="1">
      <c r="A907" s="458"/>
      <c r="B907" s="458"/>
      <c r="C907" s="458"/>
      <c r="D907" s="458"/>
      <c r="E907" s="458"/>
      <c r="F907" s="458"/>
    </row>
    <row r="908" ht="15.75" customHeight="1">
      <c r="A908" s="458"/>
      <c r="B908" s="458"/>
      <c r="C908" s="458"/>
      <c r="D908" s="458"/>
      <c r="E908" s="458"/>
      <c r="F908" s="458"/>
    </row>
    <row r="909" ht="15.75" customHeight="1">
      <c r="A909" s="458"/>
      <c r="B909" s="458"/>
      <c r="C909" s="458"/>
      <c r="D909" s="458"/>
      <c r="E909" s="458"/>
      <c r="F909" s="458"/>
    </row>
    <row r="910" ht="15.75" customHeight="1">
      <c r="A910" s="458"/>
      <c r="B910" s="458"/>
      <c r="C910" s="458"/>
      <c r="D910" s="458"/>
      <c r="E910" s="458"/>
      <c r="F910" s="458"/>
    </row>
    <row r="911" ht="15.75" customHeight="1">
      <c r="A911" s="458"/>
      <c r="B911" s="458"/>
      <c r="C911" s="458"/>
      <c r="D911" s="458"/>
      <c r="E911" s="458"/>
      <c r="F911" s="458"/>
    </row>
    <row r="912" ht="15.75" customHeight="1">
      <c r="A912" s="458"/>
      <c r="B912" s="458"/>
      <c r="C912" s="458"/>
      <c r="D912" s="458"/>
      <c r="E912" s="458"/>
      <c r="F912" s="458"/>
    </row>
    <row r="913" ht="15.75" customHeight="1">
      <c r="A913" s="458"/>
      <c r="B913" s="458"/>
      <c r="C913" s="458"/>
      <c r="D913" s="458"/>
      <c r="E913" s="458"/>
      <c r="F913" s="458"/>
    </row>
    <row r="914" ht="15.75" customHeight="1">
      <c r="A914" s="458"/>
      <c r="B914" s="458"/>
      <c r="C914" s="458"/>
      <c r="D914" s="458"/>
      <c r="E914" s="458"/>
      <c r="F914" s="458"/>
    </row>
    <row r="915" ht="15.75" customHeight="1">
      <c r="A915" s="458"/>
      <c r="B915" s="458"/>
      <c r="C915" s="458"/>
      <c r="D915" s="458"/>
      <c r="E915" s="458"/>
      <c r="F915" s="458"/>
    </row>
    <row r="916" ht="15.75" customHeight="1">
      <c r="A916" s="458"/>
      <c r="B916" s="458"/>
      <c r="C916" s="458"/>
      <c r="D916" s="458"/>
      <c r="E916" s="458"/>
      <c r="F916" s="458"/>
    </row>
    <row r="917" ht="15.75" customHeight="1">
      <c r="A917" s="458"/>
      <c r="B917" s="458"/>
      <c r="C917" s="458"/>
      <c r="D917" s="458"/>
      <c r="E917" s="458"/>
      <c r="F917" s="458"/>
    </row>
    <row r="918" ht="15.75" customHeight="1">
      <c r="A918" s="458"/>
      <c r="B918" s="458"/>
      <c r="C918" s="458"/>
      <c r="D918" s="458"/>
      <c r="E918" s="458"/>
      <c r="F918" s="458"/>
    </row>
    <row r="919" ht="15.75" customHeight="1">
      <c r="A919" s="458"/>
      <c r="B919" s="458"/>
      <c r="C919" s="458"/>
      <c r="D919" s="458"/>
      <c r="E919" s="458"/>
      <c r="F919" s="458"/>
    </row>
    <row r="920" ht="15.75" customHeight="1">
      <c r="A920" s="458"/>
      <c r="B920" s="458"/>
      <c r="C920" s="458"/>
      <c r="D920" s="458"/>
      <c r="E920" s="458"/>
      <c r="F920" s="458"/>
    </row>
    <row r="921" ht="15.75" customHeight="1">
      <c r="A921" s="458"/>
      <c r="B921" s="458"/>
      <c r="C921" s="458"/>
      <c r="D921" s="458"/>
      <c r="E921" s="458"/>
      <c r="F921" s="458"/>
    </row>
    <row r="922" ht="15.75" customHeight="1">
      <c r="A922" s="458"/>
      <c r="B922" s="458"/>
      <c r="C922" s="458"/>
      <c r="D922" s="458"/>
      <c r="E922" s="458"/>
      <c r="F922" s="458"/>
    </row>
    <row r="923" ht="15.75" customHeight="1">
      <c r="A923" s="458"/>
      <c r="B923" s="458"/>
      <c r="C923" s="458"/>
      <c r="D923" s="458"/>
      <c r="E923" s="458"/>
      <c r="F923" s="458"/>
    </row>
    <row r="924" ht="15.75" customHeight="1">
      <c r="A924" s="458"/>
      <c r="B924" s="458"/>
      <c r="C924" s="458"/>
      <c r="D924" s="458"/>
      <c r="E924" s="458"/>
      <c r="F924" s="458"/>
    </row>
    <row r="925" ht="15.75" customHeight="1">
      <c r="A925" s="458"/>
      <c r="B925" s="458"/>
      <c r="C925" s="458"/>
      <c r="D925" s="458"/>
      <c r="E925" s="458"/>
      <c r="F925" s="458"/>
    </row>
    <row r="926" ht="15.75" customHeight="1">
      <c r="A926" s="458"/>
      <c r="B926" s="458"/>
      <c r="C926" s="458"/>
      <c r="D926" s="458"/>
      <c r="E926" s="458"/>
      <c r="F926" s="458"/>
    </row>
    <row r="927" ht="15.75" customHeight="1">
      <c r="A927" s="458"/>
      <c r="B927" s="458"/>
      <c r="C927" s="458"/>
      <c r="D927" s="458"/>
      <c r="E927" s="458"/>
      <c r="F927" s="458"/>
    </row>
    <row r="928" ht="15.75" customHeight="1">
      <c r="A928" s="458"/>
      <c r="B928" s="458"/>
      <c r="C928" s="458"/>
      <c r="D928" s="458"/>
      <c r="E928" s="458"/>
      <c r="F928" s="458"/>
    </row>
    <row r="929" ht="15.75" customHeight="1">
      <c r="A929" s="458"/>
      <c r="B929" s="458"/>
      <c r="C929" s="458"/>
      <c r="D929" s="458"/>
      <c r="E929" s="458"/>
      <c r="F929" s="458"/>
    </row>
    <row r="930" ht="15.75" customHeight="1">
      <c r="A930" s="458"/>
      <c r="B930" s="458"/>
      <c r="C930" s="458"/>
      <c r="D930" s="458"/>
      <c r="E930" s="458"/>
      <c r="F930" s="458"/>
    </row>
    <row r="931" ht="15.75" customHeight="1">
      <c r="A931" s="458"/>
      <c r="B931" s="458"/>
      <c r="C931" s="458"/>
      <c r="D931" s="458"/>
      <c r="E931" s="458"/>
      <c r="F931" s="458"/>
    </row>
    <row r="932" ht="15.75" customHeight="1">
      <c r="A932" s="458"/>
      <c r="B932" s="458"/>
      <c r="C932" s="458"/>
      <c r="D932" s="458"/>
      <c r="E932" s="458"/>
      <c r="F932" s="458"/>
    </row>
    <row r="933" ht="15.75" customHeight="1">
      <c r="A933" s="458"/>
      <c r="B933" s="458"/>
      <c r="C933" s="458"/>
      <c r="D933" s="458"/>
      <c r="E933" s="458"/>
      <c r="F933" s="458"/>
    </row>
    <row r="934" ht="15.75" customHeight="1">
      <c r="A934" s="458"/>
      <c r="B934" s="458"/>
      <c r="C934" s="458"/>
      <c r="D934" s="458"/>
      <c r="E934" s="458"/>
      <c r="F934" s="458"/>
    </row>
    <row r="935" ht="15.75" customHeight="1">
      <c r="A935" s="458"/>
      <c r="B935" s="458"/>
      <c r="C935" s="458"/>
      <c r="D935" s="458"/>
      <c r="E935" s="458"/>
      <c r="F935" s="458"/>
    </row>
    <row r="936" ht="15.75" customHeight="1">
      <c r="A936" s="458"/>
      <c r="B936" s="458"/>
      <c r="C936" s="458"/>
      <c r="D936" s="458"/>
      <c r="E936" s="458"/>
      <c r="F936" s="458"/>
    </row>
    <row r="937" ht="15.75" customHeight="1">
      <c r="A937" s="458"/>
      <c r="B937" s="458"/>
      <c r="C937" s="458"/>
      <c r="D937" s="458"/>
      <c r="E937" s="458"/>
      <c r="F937" s="458"/>
    </row>
    <row r="938" ht="15.75" customHeight="1">
      <c r="A938" s="458"/>
      <c r="B938" s="458"/>
      <c r="C938" s="458"/>
      <c r="D938" s="458"/>
      <c r="E938" s="458"/>
      <c r="F938" s="458"/>
    </row>
    <row r="939" ht="15.75" customHeight="1">
      <c r="A939" s="458"/>
      <c r="B939" s="458"/>
      <c r="C939" s="458"/>
      <c r="D939" s="458"/>
      <c r="E939" s="458"/>
      <c r="F939" s="458"/>
    </row>
    <row r="940" ht="15.75" customHeight="1">
      <c r="A940" s="458"/>
      <c r="B940" s="458"/>
      <c r="C940" s="458"/>
      <c r="D940" s="458"/>
      <c r="E940" s="458"/>
      <c r="F940" s="458"/>
    </row>
    <row r="941" ht="15.75" customHeight="1">
      <c r="A941" s="458"/>
      <c r="B941" s="458"/>
      <c r="C941" s="458"/>
      <c r="D941" s="458"/>
      <c r="E941" s="458"/>
      <c r="F941" s="458"/>
    </row>
    <row r="942" ht="15.75" customHeight="1">
      <c r="A942" s="458"/>
      <c r="B942" s="458"/>
      <c r="C942" s="458"/>
      <c r="D942" s="458"/>
      <c r="E942" s="458"/>
      <c r="F942" s="458"/>
    </row>
    <row r="943" ht="15.75" customHeight="1">
      <c r="A943" s="458"/>
      <c r="B943" s="458"/>
      <c r="C943" s="458"/>
      <c r="D943" s="458"/>
      <c r="E943" s="458"/>
      <c r="F943" s="458"/>
    </row>
    <row r="944" ht="15.75" customHeight="1">
      <c r="A944" s="458"/>
      <c r="B944" s="458"/>
      <c r="C944" s="458"/>
      <c r="D944" s="458"/>
      <c r="E944" s="458"/>
      <c r="F944" s="458"/>
    </row>
    <row r="945" ht="15.75" customHeight="1">
      <c r="A945" s="458"/>
      <c r="B945" s="458"/>
      <c r="C945" s="458"/>
      <c r="D945" s="458"/>
      <c r="E945" s="458"/>
      <c r="F945" s="458"/>
    </row>
    <row r="946" ht="15.75" customHeight="1">
      <c r="A946" s="458"/>
      <c r="B946" s="458"/>
      <c r="C946" s="458"/>
      <c r="D946" s="458"/>
      <c r="E946" s="458"/>
      <c r="F946" s="458"/>
    </row>
    <row r="947" ht="15.75" customHeight="1">
      <c r="A947" s="458"/>
      <c r="B947" s="458"/>
      <c r="C947" s="458"/>
      <c r="D947" s="458"/>
      <c r="E947" s="458"/>
      <c r="F947" s="458"/>
    </row>
    <row r="948" ht="15.75" customHeight="1">
      <c r="A948" s="458"/>
      <c r="B948" s="458"/>
      <c r="C948" s="458"/>
      <c r="D948" s="458"/>
      <c r="E948" s="458"/>
      <c r="F948" s="458"/>
    </row>
    <row r="949" ht="15.75" customHeight="1">
      <c r="A949" s="458"/>
      <c r="B949" s="458"/>
      <c r="C949" s="458"/>
      <c r="D949" s="458"/>
      <c r="E949" s="458"/>
      <c r="F949" s="458"/>
    </row>
    <row r="950" ht="15.75" customHeight="1">
      <c r="A950" s="458"/>
      <c r="B950" s="458"/>
      <c r="C950" s="458"/>
      <c r="D950" s="458"/>
      <c r="E950" s="458"/>
      <c r="F950" s="458"/>
    </row>
    <row r="951" ht="15.75" customHeight="1">
      <c r="A951" s="458"/>
      <c r="B951" s="458"/>
      <c r="C951" s="458"/>
      <c r="D951" s="458"/>
      <c r="E951" s="458"/>
      <c r="F951" s="458"/>
    </row>
    <row r="952" ht="15.75" customHeight="1">
      <c r="A952" s="458"/>
      <c r="B952" s="458"/>
      <c r="C952" s="458"/>
      <c r="D952" s="458"/>
      <c r="E952" s="458"/>
      <c r="F952" s="458"/>
    </row>
    <row r="953" ht="15.75" customHeight="1">
      <c r="A953" s="458"/>
      <c r="B953" s="458"/>
      <c r="C953" s="458"/>
      <c r="D953" s="458"/>
      <c r="E953" s="458"/>
      <c r="F953" s="458"/>
    </row>
    <row r="954" ht="15.75" customHeight="1">
      <c r="A954" s="458"/>
      <c r="B954" s="458"/>
      <c r="C954" s="458"/>
      <c r="D954" s="458"/>
      <c r="E954" s="458"/>
      <c r="F954" s="458"/>
    </row>
    <row r="955" ht="15.75" customHeight="1">
      <c r="A955" s="458"/>
      <c r="B955" s="458"/>
      <c r="C955" s="458"/>
      <c r="D955" s="458"/>
      <c r="E955" s="458"/>
      <c r="F955" s="458"/>
    </row>
    <row r="956" ht="15.75" customHeight="1">
      <c r="A956" s="458"/>
      <c r="B956" s="458"/>
      <c r="C956" s="458"/>
      <c r="D956" s="458"/>
      <c r="E956" s="458"/>
      <c r="F956" s="458"/>
    </row>
    <row r="957" ht="15.75" customHeight="1">
      <c r="A957" s="458"/>
      <c r="B957" s="458"/>
      <c r="C957" s="458"/>
      <c r="D957" s="458"/>
      <c r="E957" s="458"/>
      <c r="F957" s="458"/>
    </row>
    <row r="958" ht="15.75" customHeight="1">
      <c r="A958" s="458"/>
      <c r="B958" s="458"/>
      <c r="C958" s="458"/>
      <c r="D958" s="458"/>
      <c r="E958" s="458"/>
      <c r="F958" s="458"/>
    </row>
    <row r="959" ht="15.75" customHeight="1">
      <c r="A959" s="458"/>
      <c r="B959" s="458"/>
      <c r="C959" s="458"/>
      <c r="D959" s="458"/>
      <c r="E959" s="458"/>
      <c r="F959" s="458"/>
    </row>
    <row r="960" ht="15.75" customHeight="1">
      <c r="A960" s="458"/>
      <c r="B960" s="458"/>
      <c r="C960" s="458"/>
      <c r="D960" s="458"/>
      <c r="E960" s="458"/>
      <c r="F960" s="458"/>
    </row>
    <row r="961" ht="15.75" customHeight="1">
      <c r="A961" s="458"/>
      <c r="B961" s="458"/>
      <c r="C961" s="458"/>
      <c r="D961" s="458"/>
      <c r="E961" s="458"/>
      <c r="F961" s="458"/>
    </row>
    <row r="962" ht="15.75" customHeight="1">
      <c r="A962" s="458"/>
      <c r="B962" s="458"/>
      <c r="C962" s="458"/>
      <c r="D962" s="458"/>
      <c r="E962" s="458"/>
      <c r="F962" s="458"/>
    </row>
    <row r="963" ht="15.75" customHeight="1">
      <c r="A963" s="458"/>
      <c r="B963" s="458"/>
      <c r="C963" s="458"/>
      <c r="D963" s="458"/>
      <c r="E963" s="458"/>
      <c r="F963" s="458"/>
    </row>
    <row r="964" ht="15.75" customHeight="1">
      <c r="A964" s="458"/>
      <c r="B964" s="458"/>
      <c r="C964" s="458"/>
      <c r="D964" s="458"/>
      <c r="E964" s="458"/>
      <c r="F964" s="458"/>
    </row>
    <row r="965" ht="15.75" customHeight="1">
      <c r="A965" s="458"/>
      <c r="B965" s="458"/>
      <c r="C965" s="458"/>
      <c r="D965" s="458"/>
      <c r="E965" s="458"/>
      <c r="F965" s="458"/>
    </row>
    <row r="966" ht="15.75" customHeight="1">
      <c r="A966" s="458"/>
      <c r="B966" s="458"/>
      <c r="C966" s="458"/>
      <c r="D966" s="458"/>
      <c r="E966" s="458"/>
      <c r="F966" s="458"/>
    </row>
    <row r="967" ht="15.75" customHeight="1">
      <c r="A967" s="458"/>
      <c r="B967" s="458"/>
      <c r="C967" s="458"/>
      <c r="D967" s="458"/>
      <c r="E967" s="458"/>
      <c r="F967" s="458"/>
    </row>
    <row r="968" ht="15.75" customHeight="1">
      <c r="A968" s="458"/>
      <c r="B968" s="458"/>
      <c r="C968" s="458"/>
      <c r="D968" s="458"/>
      <c r="E968" s="458"/>
      <c r="F968" s="458"/>
    </row>
    <row r="969" ht="15.75" customHeight="1">
      <c r="A969" s="458"/>
      <c r="B969" s="458"/>
      <c r="C969" s="458"/>
      <c r="D969" s="458"/>
      <c r="E969" s="458"/>
      <c r="F969" s="458"/>
    </row>
    <row r="970" ht="15.75" customHeight="1">
      <c r="A970" s="458"/>
      <c r="B970" s="458"/>
      <c r="C970" s="458"/>
      <c r="D970" s="458"/>
      <c r="E970" s="458"/>
      <c r="F970" s="458"/>
    </row>
    <row r="971" ht="15.75" customHeight="1">
      <c r="A971" s="458"/>
      <c r="B971" s="458"/>
      <c r="C971" s="458"/>
      <c r="D971" s="458"/>
      <c r="E971" s="458"/>
      <c r="F971" s="458"/>
    </row>
    <row r="972" ht="15.75" customHeight="1">
      <c r="A972" s="458"/>
      <c r="B972" s="458"/>
      <c r="C972" s="458"/>
      <c r="D972" s="458"/>
      <c r="E972" s="458"/>
      <c r="F972" s="458"/>
    </row>
    <row r="973" ht="15.75" customHeight="1">
      <c r="A973" s="458"/>
      <c r="B973" s="458"/>
      <c r="C973" s="458"/>
      <c r="D973" s="458"/>
      <c r="E973" s="458"/>
      <c r="F973" s="458"/>
    </row>
    <row r="974" ht="15.75" customHeight="1">
      <c r="A974" s="458"/>
      <c r="B974" s="458"/>
      <c r="C974" s="458"/>
      <c r="D974" s="458"/>
      <c r="E974" s="458"/>
      <c r="F974" s="458"/>
    </row>
    <row r="975" ht="15.75" customHeight="1">
      <c r="A975" s="458"/>
      <c r="B975" s="458"/>
      <c r="C975" s="458"/>
      <c r="D975" s="458"/>
      <c r="E975" s="458"/>
      <c r="F975" s="458"/>
    </row>
    <row r="976" ht="15.75" customHeight="1">
      <c r="A976" s="458"/>
      <c r="B976" s="458"/>
      <c r="C976" s="458"/>
      <c r="D976" s="458"/>
      <c r="E976" s="458"/>
      <c r="F976" s="458"/>
    </row>
    <row r="977" ht="15.75" customHeight="1">
      <c r="A977" s="458"/>
      <c r="B977" s="458"/>
      <c r="C977" s="458"/>
      <c r="D977" s="458"/>
      <c r="E977" s="458"/>
      <c r="F977" s="458"/>
    </row>
    <row r="978" ht="15.75" customHeight="1">
      <c r="A978" s="458"/>
      <c r="B978" s="458"/>
      <c r="C978" s="458"/>
      <c r="D978" s="458"/>
      <c r="E978" s="458"/>
      <c r="F978" s="458"/>
    </row>
    <row r="979" ht="15.75" customHeight="1">
      <c r="A979" s="458"/>
      <c r="B979" s="458"/>
      <c r="C979" s="458"/>
      <c r="D979" s="458"/>
      <c r="E979" s="458"/>
      <c r="F979" s="458"/>
    </row>
    <row r="980" ht="15.75" customHeight="1">
      <c r="A980" s="458"/>
      <c r="B980" s="458"/>
      <c r="C980" s="458"/>
      <c r="D980" s="458"/>
      <c r="E980" s="458"/>
      <c r="F980" s="458"/>
    </row>
    <row r="981" ht="15.75" customHeight="1">
      <c r="A981" s="458"/>
      <c r="B981" s="458"/>
      <c r="C981" s="458"/>
      <c r="D981" s="458"/>
      <c r="E981" s="458"/>
      <c r="F981" s="458"/>
    </row>
    <row r="982" ht="15.75" customHeight="1">
      <c r="A982" s="458"/>
      <c r="B982" s="458"/>
      <c r="C982" s="458"/>
      <c r="D982" s="458"/>
      <c r="E982" s="458"/>
      <c r="F982" s="458"/>
    </row>
    <row r="983" ht="15.75" customHeight="1">
      <c r="A983" s="458"/>
      <c r="B983" s="458"/>
      <c r="C983" s="458"/>
      <c r="D983" s="458"/>
      <c r="E983" s="458"/>
      <c r="F983" s="458"/>
    </row>
    <row r="984" ht="15.75" customHeight="1">
      <c r="A984" s="458"/>
      <c r="B984" s="458"/>
      <c r="C984" s="458"/>
      <c r="D984" s="458"/>
      <c r="E984" s="458"/>
      <c r="F984" s="458"/>
    </row>
    <row r="985" ht="15.75" customHeight="1">
      <c r="A985" s="458"/>
      <c r="B985" s="458"/>
      <c r="C985" s="458"/>
      <c r="D985" s="458"/>
      <c r="E985" s="458"/>
      <c r="F985" s="458"/>
    </row>
    <row r="986" ht="15.75" customHeight="1">
      <c r="A986" s="458"/>
      <c r="B986" s="458"/>
      <c r="C986" s="458"/>
      <c r="D986" s="458"/>
      <c r="E986" s="458"/>
      <c r="F986" s="458"/>
    </row>
    <row r="987" ht="15.75" customHeight="1">
      <c r="A987" s="458"/>
      <c r="B987" s="458"/>
      <c r="C987" s="458"/>
      <c r="D987" s="458"/>
      <c r="E987" s="458"/>
      <c r="F987" s="458"/>
    </row>
    <row r="988" ht="15.75" customHeight="1">
      <c r="A988" s="458"/>
      <c r="B988" s="458"/>
      <c r="C988" s="458"/>
      <c r="D988" s="458"/>
      <c r="E988" s="458"/>
      <c r="F988" s="458"/>
    </row>
    <row r="989" ht="15.75" customHeight="1">
      <c r="A989" s="458"/>
      <c r="B989" s="458"/>
      <c r="C989" s="458"/>
      <c r="D989" s="458"/>
      <c r="E989" s="458"/>
      <c r="F989" s="458"/>
    </row>
    <row r="990" ht="15.75" customHeight="1">
      <c r="A990" s="458"/>
      <c r="B990" s="458"/>
      <c r="C990" s="458"/>
      <c r="D990" s="458"/>
      <c r="E990" s="458"/>
      <c r="F990" s="458"/>
    </row>
    <row r="991" ht="15.75" customHeight="1">
      <c r="A991" s="458"/>
      <c r="B991" s="458"/>
      <c r="C991" s="458"/>
      <c r="D991" s="458"/>
      <c r="E991" s="458"/>
      <c r="F991" s="458"/>
    </row>
    <row r="992" ht="15.75" customHeight="1">
      <c r="A992" s="458"/>
      <c r="B992" s="458"/>
      <c r="C992" s="458"/>
      <c r="D992" s="458"/>
      <c r="E992" s="458"/>
      <c r="F992" s="458"/>
    </row>
    <row r="993" ht="15.75" customHeight="1">
      <c r="A993" s="458"/>
      <c r="B993" s="458"/>
      <c r="C993" s="458"/>
      <c r="D993" s="458"/>
      <c r="E993" s="458"/>
      <c r="F993" s="458"/>
    </row>
    <row r="994" ht="15.75" customHeight="1">
      <c r="A994" s="458"/>
      <c r="B994" s="458"/>
      <c r="C994" s="458"/>
      <c r="D994" s="458"/>
      <c r="E994" s="458"/>
      <c r="F994" s="458"/>
    </row>
    <row r="995" ht="15.75" customHeight="1">
      <c r="A995" s="458"/>
      <c r="B995" s="458"/>
      <c r="C995" s="458"/>
      <c r="D995" s="458"/>
      <c r="E995" s="458"/>
      <c r="F995" s="458"/>
    </row>
    <row r="996" ht="15.75" customHeight="1">
      <c r="A996" s="458"/>
      <c r="B996" s="458"/>
      <c r="C996" s="458"/>
      <c r="D996" s="458"/>
      <c r="E996" s="458"/>
      <c r="F996" s="458"/>
    </row>
    <row r="997" ht="15.75" customHeight="1">
      <c r="A997" s="458"/>
      <c r="B997" s="458"/>
      <c r="C997" s="458"/>
      <c r="D997" s="458"/>
      <c r="E997" s="458"/>
      <c r="F997" s="458"/>
    </row>
    <row r="998" ht="15.75" customHeight="1">
      <c r="A998" s="458"/>
      <c r="B998" s="458"/>
      <c r="C998" s="458"/>
      <c r="D998" s="458"/>
      <c r="E998" s="458"/>
      <c r="F998" s="458"/>
    </row>
    <row r="999" ht="15.75" customHeight="1">
      <c r="A999" s="458"/>
      <c r="B999" s="458"/>
      <c r="C999" s="458"/>
      <c r="D999" s="458"/>
      <c r="E999" s="458"/>
      <c r="F999" s="458"/>
    </row>
    <row r="1000" ht="15.75" customHeight="1">
      <c r="A1000" s="458"/>
      <c r="B1000" s="458"/>
      <c r="C1000" s="458"/>
      <c r="D1000" s="458"/>
      <c r="E1000" s="458"/>
      <c r="F1000" s="458"/>
    </row>
    <row r="1001" ht="15.75" customHeight="1">
      <c r="A1001" s="458"/>
      <c r="B1001" s="458"/>
      <c r="C1001" s="458"/>
      <c r="D1001" s="458"/>
      <c r="E1001" s="458"/>
      <c r="F1001" s="458"/>
    </row>
  </sheetData>
  <mergeCells count="5">
    <mergeCell ref="A1:H1"/>
    <mergeCell ref="A2:H2"/>
    <mergeCell ref="A3:C3"/>
    <mergeCell ref="D3:H3"/>
    <mergeCell ref="A102:D102"/>
  </mergeCells>
  <conditionalFormatting sqref="G5:G45">
    <cfRule type="cellIs" dxfId="2" priority="1" operator="lessThan">
      <formula>0</formula>
    </cfRule>
  </conditionalFormatting>
  <conditionalFormatting sqref="G5:G101">
    <cfRule type="cellIs" dxfId="2" priority="2" operator="lessThan">
      <formula>0</formula>
    </cfRule>
  </conditionalFormatting>
  <dataValidations>
    <dataValidation type="list" allowBlank="1" sqref="C5:C40 C42:C101">
      <formula1>"Cobro Cliente,Pago Contratista,Pago Proveedor,Honorarios,Gasto General,Otro Ingreso,Otro Egreso"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6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23.86"/>
    <col customWidth="1" min="2" max="2" width="117.86"/>
    <col customWidth="1" min="3" max="4" width="30.57"/>
    <col customWidth="1" min="5" max="6" width="23.86"/>
    <col customWidth="1" min="7" max="8" width="28.86"/>
  </cols>
  <sheetData>
    <row r="1" ht="46.5" customHeight="1">
      <c r="A1" s="324" t="s">
        <v>257</v>
      </c>
      <c r="B1" s="3"/>
      <c r="C1" s="3"/>
      <c r="D1" s="3"/>
      <c r="E1" s="3"/>
      <c r="F1" s="3"/>
      <c r="G1" s="3"/>
      <c r="H1" s="5"/>
    </row>
    <row r="2" ht="30.0" customHeight="1">
      <c r="A2" s="325" t="s">
        <v>258</v>
      </c>
      <c r="B2" s="3"/>
      <c r="C2" s="3"/>
      <c r="D2" s="3"/>
      <c r="E2" s="3"/>
      <c r="F2" s="3"/>
      <c r="G2" s="3"/>
      <c r="H2" s="5"/>
    </row>
    <row r="3" ht="30.0" customHeight="1">
      <c r="A3" s="14" t="str">
        <f>HYPERLINK("#'Resumen'!A1","◀ Volver al Resumen")</f>
        <v>◀ Volver al Resumen</v>
      </c>
      <c r="B3" s="3"/>
      <c r="C3" s="5"/>
      <c r="D3" s="326" t="str">
        <f>"Ingresos: $"&amp;TEXT(SUM(E5:E101),"#,##0")&amp;"  |  Egresos: $"&amp;TEXT(SUM(F5:F101),"#,##0")&amp;"  |  Saldo: $"&amp;TEXT(SUM(E5:E101)-SUM(F5:F101),"#,##0")</f>
        <v>Ingresos: $132,145  |  Egresos: $122,366  |  Saldo: $9,779</v>
      </c>
    </row>
    <row r="4" ht="46.5" customHeight="1">
      <c r="A4" s="327" t="s">
        <v>259</v>
      </c>
      <c r="B4" s="327" t="s">
        <v>260</v>
      </c>
      <c r="C4" s="327" t="s">
        <v>80</v>
      </c>
      <c r="D4" s="327" t="s">
        <v>261</v>
      </c>
      <c r="E4" s="328" t="s">
        <v>262</v>
      </c>
      <c r="F4" s="329" t="s">
        <v>263</v>
      </c>
    </row>
    <row r="5" ht="27.75" customHeight="1">
      <c r="A5" s="330"/>
      <c r="B5" s="331" t="s">
        <v>264</v>
      </c>
      <c r="C5" s="330" t="s">
        <v>266</v>
      </c>
      <c r="D5" s="331" t="s">
        <v>57</v>
      </c>
      <c r="E5" s="333">
        <v>27160.0</v>
      </c>
      <c r="F5" s="333"/>
    </row>
    <row r="6" ht="27.75" customHeight="1">
      <c r="A6" s="335"/>
      <c r="B6" s="337" t="s">
        <v>269</v>
      </c>
      <c r="C6" s="335" t="s">
        <v>266</v>
      </c>
      <c r="D6" s="337" t="s">
        <v>99</v>
      </c>
      <c r="E6" s="340">
        <v>27160.0</v>
      </c>
      <c r="F6" s="340"/>
    </row>
    <row r="7" ht="27.75" customHeight="1">
      <c r="A7" s="330"/>
      <c r="B7" s="331" t="s">
        <v>270</v>
      </c>
      <c r="C7" s="330" t="s">
        <v>266</v>
      </c>
      <c r="D7" s="331" t="s">
        <v>110</v>
      </c>
      <c r="E7" s="333">
        <v>14000.0</v>
      </c>
      <c r="F7" s="333"/>
    </row>
    <row r="8" ht="27.75" customHeight="1">
      <c r="A8" s="335"/>
      <c r="B8" s="337" t="s">
        <v>271</v>
      </c>
      <c r="C8" s="335" t="s">
        <v>266</v>
      </c>
      <c r="D8" s="337" t="s">
        <v>121</v>
      </c>
      <c r="E8" s="340">
        <v>7760.0</v>
      </c>
      <c r="F8" s="340"/>
    </row>
    <row r="9" ht="27.75" customHeight="1">
      <c r="A9" s="330"/>
      <c r="B9" s="348" t="s">
        <v>340</v>
      </c>
      <c r="C9" s="330" t="s">
        <v>266</v>
      </c>
      <c r="D9" s="331" t="s">
        <v>127</v>
      </c>
      <c r="E9" s="333">
        <v>15520.0</v>
      </c>
      <c r="F9" s="333"/>
    </row>
    <row r="10" ht="27.75" customHeight="1">
      <c r="A10" s="345">
        <v>46204.0</v>
      </c>
      <c r="B10" s="346" t="s">
        <v>342</v>
      </c>
      <c r="C10" s="351" t="s">
        <v>266</v>
      </c>
      <c r="D10" s="337" t="s">
        <v>127</v>
      </c>
      <c r="E10" s="352">
        <v>10475.0</v>
      </c>
      <c r="F10" s="340"/>
    </row>
    <row r="11" ht="27.75" customHeight="1">
      <c r="A11" s="347">
        <v>46204.0</v>
      </c>
      <c r="B11" s="348" t="s">
        <v>343</v>
      </c>
      <c r="C11" s="349" t="s">
        <v>266</v>
      </c>
      <c r="D11" s="331" t="s">
        <v>127</v>
      </c>
      <c r="E11" s="350">
        <v>30070.0</v>
      </c>
      <c r="F11" s="333"/>
    </row>
    <row r="12" ht="27.75" customHeight="1">
      <c r="A12" s="335"/>
      <c r="B12" s="346"/>
      <c r="C12" s="351"/>
      <c r="D12" s="337"/>
      <c r="E12" s="352"/>
      <c r="F12" s="340"/>
    </row>
    <row r="13" ht="27.75" customHeight="1">
      <c r="A13" s="330"/>
      <c r="B13" s="353" t="s">
        <v>274</v>
      </c>
      <c r="C13" s="330"/>
      <c r="D13" s="331"/>
      <c r="E13" s="333"/>
      <c r="F13" s="333"/>
    </row>
    <row r="14" ht="27.75" customHeight="1">
      <c r="A14" s="335"/>
      <c r="B14" s="337" t="s">
        <v>275</v>
      </c>
      <c r="C14" s="335" t="s">
        <v>276</v>
      </c>
      <c r="D14" s="337" t="s">
        <v>277</v>
      </c>
      <c r="E14" s="340"/>
      <c r="F14" s="340">
        <v>5600.0</v>
      </c>
    </row>
    <row r="15" ht="27.75" customHeight="1">
      <c r="A15" s="330"/>
      <c r="B15" s="331" t="s">
        <v>278</v>
      </c>
      <c r="C15" s="330" t="s">
        <v>276</v>
      </c>
      <c r="D15" s="331" t="s">
        <v>279</v>
      </c>
      <c r="E15" s="333"/>
      <c r="F15" s="333">
        <v>2920.0</v>
      </c>
    </row>
    <row r="16" ht="27.75" customHeight="1">
      <c r="A16" s="335"/>
      <c r="B16" s="337" t="s">
        <v>280</v>
      </c>
      <c r="C16" s="335" t="s">
        <v>276</v>
      </c>
      <c r="D16" s="337" t="s">
        <v>281</v>
      </c>
      <c r="E16" s="340"/>
      <c r="F16" s="340">
        <v>2250.0</v>
      </c>
    </row>
    <row r="17" ht="27.75" customHeight="1">
      <c r="A17" s="330"/>
      <c r="B17" s="331" t="s">
        <v>283</v>
      </c>
      <c r="C17" s="330" t="s">
        <v>284</v>
      </c>
      <c r="D17" s="331" t="s">
        <v>286</v>
      </c>
      <c r="E17" s="333"/>
      <c r="F17" s="333">
        <v>1100.0</v>
      </c>
    </row>
    <row r="18" ht="27.75" customHeight="1">
      <c r="A18" s="335"/>
      <c r="B18" s="337" t="s">
        <v>287</v>
      </c>
      <c r="C18" s="335" t="s">
        <v>284</v>
      </c>
      <c r="D18" s="337" t="s">
        <v>288</v>
      </c>
      <c r="E18" s="340"/>
      <c r="F18" s="340">
        <v>1364.0</v>
      </c>
    </row>
    <row r="19" ht="27.75" customHeight="1">
      <c r="A19" s="330"/>
      <c r="B19" s="331" t="s">
        <v>289</v>
      </c>
      <c r="C19" s="330" t="s">
        <v>276</v>
      </c>
      <c r="D19" s="331" t="s">
        <v>290</v>
      </c>
      <c r="E19" s="333"/>
      <c r="F19" s="333">
        <v>345.0</v>
      </c>
    </row>
    <row r="20" ht="27.75" customHeight="1">
      <c r="A20" s="335"/>
      <c r="B20" s="337" t="s">
        <v>291</v>
      </c>
      <c r="C20" s="335" t="s">
        <v>276</v>
      </c>
      <c r="D20" s="337" t="s">
        <v>290</v>
      </c>
      <c r="E20" s="340"/>
      <c r="F20" s="340">
        <v>421.0</v>
      </c>
    </row>
    <row r="21" ht="27.75" customHeight="1">
      <c r="A21" s="330"/>
      <c r="B21" s="331" t="s">
        <v>292</v>
      </c>
      <c r="C21" s="330" t="s">
        <v>276</v>
      </c>
      <c r="D21" s="331" t="s">
        <v>290</v>
      </c>
      <c r="E21" s="333"/>
      <c r="F21" s="333">
        <v>716.0</v>
      </c>
    </row>
    <row r="22" ht="27.75" customHeight="1">
      <c r="A22" s="335"/>
      <c r="B22" s="337" t="s">
        <v>293</v>
      </c>
      <c r="C22" s="335" t="s">
        <v>276</v>
      </c>
      <c r="D22" s="337" t="s">
        <v>290</v>
      </c>
      <c r="E22" s="340"/>
      <c r="F22" s="340">
        <v>563.0</v>
      </c>
    </row>
    <row r="23" ht="27.75" customHeight="1">
      <c r="A23" s="330"/>
      <c r="B23" s="331" t="s">
        <v>294</v>
      </c>
      <c r="C23" s="330" t="s">
        <v>276</v>
      </c>
      <c r="D23" s="331" t="s">
        <v>290</v>
      </c>
      <c r="E23" s="333"/>
      <c r="F23" s="333">
        <v>451.0</v>
      </c>
    </row>
    <row r="24" ht="27.75" customHeight="1">
      <c r="A24" s="335"/>
      <c r="B24" s="337" t="s">
        <v>295</v>
      </c>
      <c r="C24" s="335" t="s">
        <v>276</v>
      </c>
      <c r="D24" s="337" t="s">
        <v>290</v>
      </c>
      <c r="E24" s="340"/>
      <c r="F24" s="340">
        <v>351.0</v>
      </c>
    </row>
    <row r="25" ht="27.75" customHeight="1">
      <c r="A25" s="330"/>
      <c r="B25" s="331" t="s">
        <v>296</v>
      </c>
      <c r="C25" s="330" t="s">
        <v>276</v>
      </c>
      <c r="D25" s="331" t="s">
        <v>290</v>
      </c>
      <c r="E25" s="333"/>
      <c r="F25" s="333">
        <v>268.0</v>
      </c>
    </row>
    <row r="26" ht="27.75" customHeight="1">
      <c r="A26" s="335"/>
      <c r="B26" s="337" t="s">
        <v>297</v>
      </c>
      <c r="C26" s="335" t="s">
        <v>276</v>
      </c>
      <c r="D26" s="337" t="s">
        <v>290</v>
      </c>
      <c r="E26" s="340"/>
      <c r="F26" s="340">
        <v>306.0</v>
      </c>
    </row>
    <row r="27" ht="27.75" customHeight="1">
      <c r="A27" s="330"/>
      <c r="B27" s="331" t="s">
        <v>299</v>
      </c>
      <c r="C27" s="330" t="s">
        <v>276</v>
      </c>
      <c r="D27" s="331" t="s">
        <v>290</v>
      </c>
      <c r="E27" s="333"/>
      <c r="F27" s="333">
        <v>1481.0</v>
      </c>
    </row>
    <row r="28" ht="27.75" customHeight="1">
      <c r="A28" s="335"/>
      <c r="B28" s="337" t="s">
        <v>300</v>
      </c>
      <c r="C28" s="335" t="s">
        <v>276</v>
      </c>
      <c r="D28" s="337" t="s">
        <v>290</v>
      </c>
      <c r="E28" s="340"/>
      <c r="F28" s="340">
        <v>69.0</v>
      </c>
    </row>
    <row r="29" ht="27.75" customHeight="1">
      <c r="A29" s="330"/>
      <c r="B29" s="331" t="s">
        <v>302</v>
      </c>
      <c r="C29" s="330" t="s">
        <v>276</v>
      </c>
      <c r="D29" s="331" t="s">
        <v>290</v>
      </c>
      <c r="E29" s="333"/>
      <c r="F29" s="333">
        <v>102.0</v>
      </c>
    </row>
    <row r="30" ht="27.75" customHeight="1">
      <c r="A30" s="335"/>
      <c r="B30" s="337" t="s">
        <v>303</v>
      </c>
      <c r="C30" s="335" t="s">
        <v>276</v>
      </c>
      <c r="D30" s="337" t="s">
        <v>290</v>
      </c>
      <c r="E30" s="340"/>
      <c r="F30" s="340">
        <v>104.0</v>
      </c>
    </row>
    <row r="31" ht="27.75" customHeight="1">
      <c r="A31" s="330"/>
      <c r="B31" s="331" t="s">
        <v>304</v>
      </c>
      <c r="C31" s="330" t="s">
        <v>298</v>
      </c>
      <c r="D31" s="331" t="s">
        <v>305</v>
      </c>
      <c r="E31" s="333"/>
      <c r="F31" s="333">
        <v>17000.0</v>
      </c>
    </row>
    <row r="32" ht="27.75" customHeight="1">
      <c r="A32" s="335"/>
      <c r="B32" s="337" t="s">
        <v>306</v>
      </c>
      <c r="C32" s="335" t="s">
        <v>284</v>
      </c>
      <c r="D32" s="337" t="s">
        <v>307</v>
      </c>
      <c r="E32" s="340"/>
      <c r="F32" s="340">
        <v>12750.0</v>
      </c>
    </row>
    <row r="33" ht="27.75" customHeight="1">
      <c r="A33" s="330"/>
      <c r="B33" s="331" t="s">
        <v>308</v>
      </c>
      <c r="C33" s="330" t="s">
        <v>284</v>
      </c>
      <c r="D33" s="331" t="s">
        <v>309</v>
      </c>
      <c r="E33" s="333"/>
      <c r="F33" s="333">
        <v>5750.0</v>
      </c>
    </row>
    <row r="34" ht="27.75" customHeight="1">
      <c r="A34" s="335"/>
      <c r="B34" s="337" t="s">
        <v>310</v>
      </c>
      <c r="C34" s="335" t="s">
        <v>298</v>
      </c>
      <c r="D34" s="337" t="s">
        <v>311</v>
      </c>
      <c r="E34" s="340"/>
      <c r="F34" s="340">
        <v>2500.0</v>
      </c>
    </row>
    <row r="35" ht="27.75" customHeight="1">
      <c r="A35" s="330"/>
      <c r="B35" s="331" t="s">
        <v>312</v>
      </c>
      <c r="C35" s="330" t="s">
        <v>284</v>
      </c>
      <c r="D35" s="331" t="s">
        <v>313</v>
      </c>
      <c r="E35" s="333"/>
      <c r="F35" s="437">
        <v>12750.0</v>
      </c>
    </row>
    <row r="36" ht="27.75" customHeight="1">
      <c r="A36" s="335"/>
      <c r="B36" s="346" t="s">
        <v>355</v>
      </c>
      <c r="C36" s="335" t="s">
        <v>284</v>
      </c>
      <c r="D36" s="337" t="s">
        <v>315</v>
      </c>
      <c r="E36" s="340"/>
      <c r="F36" s="378">
        <v>5750.0</v>
      </c>
    </row>
    <row r="37" ht="27.75" customHeight="1">
      <c r="A37" s="330"/>
      <c r="B37" s="331" t="s">
        <v>316</v>
      </c>
      <c r="C37" s="330" t="s">
        <v>298</v>
      </c>
      <c r="D37" s="348" t="s">
        <v>317</v>
      </c>
      <c r="E37" s="333"/>
      <c r="F37" s="350" t="s">
        <v>357</v>
      </c>
    </row>
    <row r="38" ht="27.75" customHeight="1">
      <c r="A38" s="380"/>
      <c r="B38" s="337"/>
      <c r="C38" s="335"/>
      <c r="D38" s="337"/>
      <c r="E38" s="381"/>
      <c r="F38" s="352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27.75" customHeight="1">
      <c r="A39" s="383"/>
      <c r="B39" s="384" t="s">
        <v>320</v>
      </c>
      <c r="C39" s="385"/>
      <c r="D39" s="384"/>
      <c r="E39" s="386"/>
      <c r="F39" s="386"/>
      <c r="G39" s="387"/>
      <c r="H39" s="387"/>
      <c r="I39" s="387"/>
      <c r="J39" s="387"/>
      <c r="K39" s="387"/>
      <c r="L39" s="387"/>
      <c r="M39" s="387"/>
      <c r="N39" s="387"/>
      <c r="O39" s="387"/>
      <c r="P39" s="387"/>
      <c r="Q39" s="387"/>
      <c r="R39" s="387"/>
      <c r="S39" s="387"/>
      <c r="T39" s="387"/>
      <c r="U39" s="387"/>
      <c r="V39" s="387"/>
      <c r="W39" s="387"/>
      <c r="X39" s="387"/>
      <c r="Y39" s="387"/>
      <c r="Z39" s="387"/>
    </row>
    <row r="40" ht="27.75" customHeight="1">
      <c r="A40" s="390"/>
      <c r="B40" s="394" t="s">
        <v>366</v>
      </c>
      <c r="C40" s="349" t="s">
        <v>284</v>
      </c>
      <c r="D40" s="331"/>
      <c r="E40" s="395"/>
      <c r="F40" s="397">
        <v>6420.0</v>
      </c>
    </row>
    <row r="41" ht="27.75" customHeight="1">
      <c r="A41" s="380"/>
      <c r="B41" s="391" t="s">
        <v>367</v>
      </c>
      <c r="C41" s="351" t="s">
        <v>298</v>
      </c>
      <c r="D41" s="337"/>
      <c r="E41" s="381"/>
      <c r="F41" s="455">
        <v>6528.0</v>
      </c>
    </row>
    <row r="42" ht="27.75" customHeight="1">
      <c r="A42" s="390"/>
      <c r="B42" s="394" t="s">
        <v>369</v>
      </c>
      <c r="C42" s="349" t="s">
        <v>298</v>
      </c>
      <c r="D42" s="331"/>
      <c r="E42" s="395"/>
      <c r="F42" s="457">
        <f>3827800/Resumen!G6</f>
        <v>2526.60066</v>
      </c>
    </row>
    <row r="43" ht="27.75" customHeight="1">
      <c r="A43" s="380"/>
      <c r="B43" s="391" t="s">
        <v>376</v>
      </c>
      <c r="C43" s="335" t="s">
        <v>284</v>
      </c>
      <c r="D43" s="337"/>
      <c r="E43" s="381"/>
      <c r="F43" s="381">
        <f>DetalleCostos!B15</f>
        <v>12250</v>
      </c>
    </row>
    <row r="44" ht="27.75" customHeight="1">
      <c r="A44" s="390"/>
      <c r="B44" s="394" t="s">
        <v>381</v>
      </c>
      <c r="C44" s="330" t="s">
        <v>284</v>
      </c>
      <c r="D44" s="331"/>
      <c r="E44" s="395"/>
      <c r="F44" s="397">
        <v>7480.0</v>
      </c>
    </row>
    <row r="45" ht="27.75" customHeight="1">
      <c r="A45" s="390"/>
      <c r="B45" s="394"/>
      <c r="C45" s="330"/>
      <c r="D45" s="331"/>
      <c r="E45" s="395"/>
      <c r="F45" s="395"/>
    </row>
    <row r="46" ht="27.75" customHeight="1">
      <c r="A46" s="380"/>
      <c r="B46" s="391" t="s">
        <v>376</v>
      </c>
      <c r="C46" s="335"/>
      <c r="D46" s="380"/>
      <c r="E46" s="381"/>
      <c r="F46" s="381">
        <f>F43</f>
        <v>12250</v>
      </c>
    </row>
    <row r="47" ht="27.75" customHeight="1">
      <c r="A47" s="390"/>
      <c r="B47" s="394" t="s">
        <v>385</v>
      </c>
      <c r="C47" s="330"/>
      <c r="D47" s="390"/>
      <c r="E47" s="395"/>
      <c r="F47" s="395"/>
    </row>
    <row r="48" ht="27.75" customHeight="1">
      <c r="A48" s="380"/>
      <c r="B48" s="380"/>
      <c r="C48" s="335"/>
      <c r="D48" s="380"/>
      <c r="E48" s="381" t="str">
        <f>Clientes!M12</f>
        <v/>
      </c>
      <c r="F48" s="381"/>
    </row>
    <row r="49" ht="27.75" customHeight="1">
      <c r="A49" s="390"/>
      <c r="B49" s="390"/>
      <c r="C49" s="330"/>
      <c r="D49" s="390"/>
      <c r="E49" s="395"/>
      <c r="F49" s="395"/>
    </row>
    <row r="50" ht="27.75" customHeight="1">
      <c r="A50" s="380"/>
      <c r="B50" s="380"/>
      <c r="C50" s="335"/>
      <c r="D50" s="380"/>
      <c r="E50" s="381"/>
      <c r="F50" s="381"/>
    </row>
    <row r="51" ht="27.75" customHeight="1">
      <c r="A51" s="390"/>
      <c r="B51" s="390"/>
      <c r="C51" s="390"/>
      <c r="D51" s="390"/>
      <c r="E51" s="395"/>
      <c r="F51" s="395"/>
    </row>
    <row r="52" ht="27.75" customHeight="1">
      <c r="A52" s="380"/>
      <c r="B52" s="380"/>
      <c r="C52" s="380"/>
      <c r="D52" s="380"/>
      <c r="E52" s="381"/>
      <c r="F52" s="381"/>
    </row>
    <row r="53" ht="27.75" customHeight="1">
      <c r="A53" s="390"/>
      <c r="B53" s="390"/>
      <c r="C53" s="390"/>
      <c r="D53" s="390"/>
      <c r="E53" s="395"/>
      <c r="F53" s="395"/>
    </row>
    <row r="54" ht="27.75" customHeight="1">
      <c r="A54" s="330"/>
      <c r="B54" s="331"/>
      <c r="C54" s="330"/>
      <c r="D54" s="331"/>
      <c r="E54" s="333"/>
      <c r="F54" s="333"/>
    </row>
    <row r="55" ht="27.75" customHeight="1">
      <c r="A55" s="335"/>
      <c r="B55" s="337"/>
      <c r="C55" s="335"/>
      <c r="D55" s="337"/>
      <c r="E55" s="340"/>
      <c r="F55" s="340"/>
    </row>
    <row r="56" ht="27.75" customHeight="1">
      <c r="A56" s="330"/>
      <c r="B56" s="331"/>
      <c r="C56" s="330"/>
      <c r="D56" s="331"/>
      <c r="E56" s="333"/>
      <c r="F56" s="333"/>
    </row>
    <row r="57" ht="27.75" customHeight="1">
      <c r="A57" s="335"/>
      <c r="B57" s="337"/>
      <c r="C57" s="335"/>
      <c r="D57" s="337"/>
      <c r="E57" s="340"/>
      <c r="F57" s="340"/>
    </row>
    <row r="58" ht="27.75" customHeight="1">
      <c r="A58" s="330"/>
      <c r="B58" s="331"/>
      <c r="C58" s="330"/>
      <c r="D58" s="331"/>
      <c r="E58" s="333"/>
      <c r="F58" s="333"/>
    </row>
    <row r="59" ht="27.75" customHeight="1">
      <c r="A59" s="335"/>
      <c r="B59" s="337"/>
      <c r="C59" s="335"/>
      <c r="D59" s="337"/>
      <c r="E59" s="340"/>
      <c r="F59" s="340"/>
    </row>
    <row r="60" ht="27.75" customHeight="1">
      <c r="A60" s="330"/>
      <c r="B60" s="331"/>
      <c r="C60" s="330"/>
      <c r="D60" s="331"/>
      <c r="E60" s="333"/>
      <c r="F60" s="333"/>
    </row>
    <row r="61" ht="27.75" customHeight="1">
      <c r="A61" s="335"/>
      <c r="B61" s="337"/>
      <c r="C61" s="335"/>
      <c r="D61" s="337"/>
      <c r="E61" s="340"/>
      <c r="F61" s="340"/>
    </row>
    <row r="62" ht="27.75" customHeight="1">
      <c r="A62" s="330"/>
      <c r="B62" s="331"/>
      <c r="C62" s="330"/>
      <c r="D62" s="331"/>
      <c r="E62" s="333"/>
      <c r="F62" s="333"/>
    </row>
    <row r="63" ht="27.75" customHeight="1">
      <c r="A63" s="335"/>
      <c r="B63" s="337"/>
      <c r="C63" s="335"/>
      <c r="D63" s="337"/>
      <c r="E63" s="340"/>
      <c r="F63" s="340"/>
    </row>
    <row r="64" ht="27.75" customHeight="1">
      <c r="A64" s="330"/>
      <c r="B64" s="331"/>
      <c r="C64" s="330"/>
      <c r="D64" s="331"/>
      <c r="E64" s="333"/>
      <c r="F64" s="333"/>
    </row>
    <row r="65" ht="27.75" customHeight="1">
      <c r="A65" s="335"/>
      <c r="B65" s="337"/>
      <c r="C65" s="335"/>
      <c r="D65" s="337"/>
      <c r="E65" s="340"/>
      <c r="F65" s="340"/>
    </row>
    <row r="66" ht="27.75" customHeight="1">
      <c r="A66" s="330"/>
      <c r="B66" s="331"/>
      <c r="C66" s="330"/>
      <c r="D66" s="331"/>
      <c r="E66" s="333"/>
      <c r="F66" s="333"/>
    </row>
    <row r="67" ht="27.75" customHeight="1">
      <c r="A67" s="335"/>
      <c r="B67" s="337"/>
      <c r="C67" s="335"/>
      <c r="D67" s="337"/>
      <c r="E67" s="340"/>
      <c r="F67" s="340"/>
    </row>
    <row r="68" ht="27.75" customHeight="1">
      <c r="A68" s="330"/>
      <c r="B68" s="331"/>
      <c r="C68" s="330"/>
      <c r="D68" s="331"/>
      <c r="E68" s="333"/>
      <c r="F68" s="333"/>
    </row>
    <row r="69" ht="27.75" customHeight="1">
      <c r="A69" s="335"/>
      <c r="B69" s="337"/>
      <c r="C69" s="335"/>
      <c r="D69" s="337"/>
      <c r="E69" s="340"/>
      <c r="F69" s="340"/>
    </row>
    <row r="70" ht="27.75" customHeight="1">
      <c r="A70" s="330"/>
      <c r="B70" s="331"/>
      <c r="C70" s="330"/>
      <c r="D70" s="331"/>
      <c r="E70" s="333"/>
      <c r="F70" s="333"/>
    </row>
    <row r="71" ht="27.75" customHeight="1">
      <c r="A71" s="335"/>
      <c r="B71" s="337"/>
      <c r="C71" s="335"/>
      <c r="D71" s="337"/>
      <c r="E71" s="340"/>
      <c r="F71" s="340"/>
    </row>
    <row r="72" ht="27.75" customHeight="1">
      <c r="A72" s="330"/>
      <c r="B72" s="331"/>
      <c r="C72" s="330"/>
      <c r="D72" s="331"/>
      <c r="E72" s="333"/>
      <c r="F72" s="333"/>
    </row>
    <row r="73" ht="27.75" customHeight="1">
      <c r="A73" s="335"/>
      <c r="B73" s="337"/>
      <c r="C73" s="335"/>
      <c r="D73" s="337"/>
      <c r="E73" s="340"/>
      <c r="F73" s="340"/>
    </row>
    <row r="74" ht="27.75" customHeight="1">
      <c r="A74" s="330"/>
      <c r="B74" s="331"/>
      <c r="C74" s="330"/>
      <c r="D74" s="331"/>
      <c r="E74" s="333"/>
      <c r="F74" s="333"/>
    </row>
    <row r="75" ht="27.75" customHeight="1">
      <c r="A75" s="335"/>
      <c r="B75" s="337"/>
      <c r="C75" s="335"/>
      <c r="D75" s="337"/>
      <c r="E75" s="340"/>
      <c r="F75" s="340"/>
    </row>
    <row r="76" ht="27.75" customHeight="1">
      <c r="A76" s="330"/>
      <c r="B76" s="331"/>
      <c r="C76" s="330"/>
      <c r="D76" s="331"/>
      <c r="E76" s="333"/>
      <c r="F76" s="333"/>
    </row>
    <row r="77" ht="27.75" customHeight="1">
      <c r="A77" s="335"/>
      <c r="B77" s="337"/>
      <c r="C77" s="335"/>
      <c r="D77" s="337"/>
      <c r="E77" s="340"/>
      <c r="F77" s="340"/>
    </row>
    <row r="78" ht="27.75" customHeight="1">
      <c r="A78" s="330"/>
      <c r="B78" s="331"/>
      <c r="C78" s="330"/>
      <c r="D78" s="331"/>
      <c r="E78" s="333"/>
      <c r="F78" s="333"/>
    </row>
    <row r="79" ht="27.75" customHeight="1">
      <c r="A79" s="335"/>
      <c r="B79" s="337"/>
      <c r="C79" s="335"/>
      <c r="D79" s="337"/>
      <c r="E79" s="340"/>
      <c r="F79" s="340"/>
    </row>
    <row r="80" ht="27.75" customHeight="1">
      <c r="A80" s="330"/>
      <c r="B80" s="331"/>
      <c r="C80" s="330"/>
      <c r="D80" s="331"/>
      <c r="E80" s="333"/>
      <c r="F80" s="333"/>
    </row>
    <row r="81" ht="27.75" customHeight="1">
      <c r="A81" s="335"/>
      <c r="B81" s="337"/>
      <c r="C81" s="335"/>
      <c r="D81" s="337"/>
      <c r="E81" s="340"/>
      <c r="F81" s="340"/>
    </row>
    <row r="82" ht="27.75" customHeight="1">
      <c r="A82" s="330"/>
      <c r="B82" s="331"/>
      <c r="C82" s="330"/>
      <c r="D82" s="331"/>
      <c r="E82" s="333"/>
      <c r="F82" s="333"/>
    </row>
    <row r="83" ht="27.75" customHeight="1">
      <c r="A83" s="335"/>
      <c r="B83" s="337"/>
      <c r="C83" s="335"/>
      <c r="D83" s="337"/>
      <c r="E83" s="340"/>
      <c r="F83" s="340"/>
    </row>
    <row r="84" ht="27.75" customHeight="1">
      <c r="A84" s="330"/>
      <c r="B84" s="331"/>
      <c r="C84" s="330"/>
      <c r="D84" s="331"/>
      <c r="E84" s="333"/>
      <c r="F84" s="333"/>
    </row>
    <row r="85" ht="27.75" customHeight="1">
      <c r="A85" s="335"/>
      <c r="B85" s="337"/>
      <c r="C85" s="335"/>
      <c r="D85" s="337"/>
      <c r="E85" s="340"/>
      <c r="F85" s="340"/>
    </row>
    <row r="86" ht="27.75" customHeight="1">
      <c r="A86" s="330"/>
      <c r="B86" s="331"/>
      <c r="C86" s="330"/>
      <c r="D86" s="331"/>
      <c r="E86" s="333"/>
      <c r="F86" s="333"/>
    </row>
    <row r="87" ht="27.75" customHeight="1">
      <c r="A87" s="335"/>
      <c r="B87" s="337"/>
      <c r="C87" s="335"/>
      <c r="D87" s="337"/>
      <c r="E87" s="340"/>
      <c r="F87" s="340"/>
    </row>
    <row r="88" ht="27.75" customHeight="1">
      <c r="A88" s="330"/>
      <c r="B88" s="331"/>
      <c r="C88" s="330"/>
      <c r="D88" s="331"/>
      <c r="E88" s="333"/>
      <c r="F88" s="333"/>
    </row>
    <row r="89" ht="27.75" customHeight="1">
      <c r="A89" s="335"/>
      <c r="B89" s="337"/>
      <c r="C89" s="335"/>
      <c r="D89" s="337"/>
      <c r="E89" s="340"/>
      <c r="F89" s="340"/>
    </row>
    <row r="90" ht="27.75" customHeight="1">
      <c r="A90" s="330"/>
      <c r="B90" s="331"/>
      <c r="C90" s="330"/>
      <c r="D90" s="331"/>
      <c r="E90" s="333"/>
      <c r="F90" s="333"/>
    </row>
    <row r="91" ht="27.75" customHeight="1">
      <c r="A91" s="335"/>
      <c r="B91" s="337"/>
      <c r="C91" s="335"/>
      <c r="D91" s="337"/>
      <c r="E91" s="340"/>
      <c r="F91" s="340"/>
    </row>
    <row r="92" ht="27.75" customHeight="1">
      <c r="A92" s="330"/>
      <c r="B92" s="331"/>
      <c r="C92" s="330"/>
      <c r="D92" s="331"/>
      <c r="E92" s="333"/>
      <c r="F92" s="333"/>
    </row>
    <row r="93" ht="27.75" customHeight="1">
      <c r="A93" s="335"/>
      <c r="B93" s="337"/>
      <c r="C93" s="335"/>
      <c r="D93" s="337"/>
      <c r="E93" s="340"/>
      <c r="F93" s="340"/>
    </row>
    <row r="94" ht="27.75" customHeight="1">
      <c r="A94" s="330"/>
      <c r="B94" s="331"/>
      <c r="C94" s="330"/>
      <c r="D94" s="331"/>
      <c r="E94" s="333"/>
      <c r="F94" s="333"/>
    </row>
    <row r="95" ht="27.75" customHeight="1">
      <c r="A95" s="335"/>
      <c r="B95" s="337"/>
      <c r="C95" s="335"/>
      <c r="D95" s="337"/>
      <c r="E95" s="340"/>
      <c r="F95" s="340"/>
    </row>
    <row r="96" ht="27.75" customHeight="1">
      <c r="A96" s="330"/>
      <c r="B96" s="331"/>
      <c r="C96" s="330"/>
      <c r="D96" s="331"/>
      <c r="E96" s="333"/>
      <c r="F96" s="333"/>
    </row>
    <row r="97" ht="27.75" customHeight="1">
      <c r="A97" s="335"/>
      <c r="B97" s="337"/>
      <c r="C97" s="335"/>
      <c r="D97" s="337"/>
      <c r="E97" s="340"/>
      <c r="F97" s="340"/>
    </row>
    <row r="98" ht="27.75" customHeight="1">
      <c r="A98" s="330"/>
      <c r="B98" s="331"/>
      <c r="C98" s="330"/>
      <c r="D98" s="331"/>
      <c r="E98" s="333"/>
      <c r="F98" s="333"/>
    </row>
    <row r="99" ht="27.75" customHeight="1">
      <c r="A99" s="335"/>
      <c r="B99" s="337"/>
      <c r="C99" s="335"/>
      <c r="D99" s="337"/>
      <c r="E99" s="340"/>
      <c r="F99" s="340"/>
    </row>
    <row r="100" ht="27.75" customHeight="1">
      <c r="A100" s="330"/>
      <c r="B100" s="331"/>
      <c r="C100" s="330"/>
      <c r="D100" s="331"/>
      <c r="E100" s="333"/>
      <c r="F100" s="333"/>
    </row>
    <row r="101" ht="27.75" customHeight="1">
      <c r="A101" s="335"/>
      <c r="B101" s="337"/>
      <c r="C101" s="335"/>
      <c r="D101" s="337"/>
      <c r="E101" s="340"/>
      <c r="F101" s="340"/>
    </row>
    <row r="102" ht="36.75" customHeight="1">
      <c r="A102" s="241" t="s">
        <v>333</v>
      </c>
      <c r="B102" s="41"/>
      <c r="C102" s="41"/>
      <c r="D102" s="46"/>
      <c r="E102" s="412">
        <f t="shared" ref="E102:F102" si="1">SUM(E5:E101)</f>
        <v>132145</v>
      </c>
      <c r="F102" s="412">
        <f t="shared" si="1"/>
        <v>122365.6007</v>
      </c>
    </row>
    <row r="103" ht="27.75" customHeight="1">
      <c r="A103" s="413"/>
      <c r="B103" s="413"/>
      <c r="C103" s="413"/>
      <c r="D103" s="413"/>
      <c r="E103" s="413"/>
      <c r="F103" s="413"/>
    </row>
    <row r="104" ht="27.75" customHeight="1">
      <c r="A104" s="413"/>
      <c r="B104" s="413"/>
      <c r="C104" s="413"/>
      <c r="D104" s="413"/>
      <c r="E104" s="413"/>
      <c r="F104" s="413"/>
    </row>
    <row r="105" ht="27.75" customHeight="1">
      <c r="A105" s="413"/>
      <c r="B105" s="413"/>
      <c r="C105" s="413"/>
      <c r="D105" s="413"/>
      <c r="E105" s="413"/>
      <c r="F105" s="413"/>
    </row>
    <row r="106" ht="27.75" customHeight="1">
      <c r="A106" s="413"/>
      <c r="B106" s="413"/>
      <c r="C106" s="413"/>
      <c r="D106" s="413"/>
      <c r="E106" s="413"/>
      <c r="F106" s="413"/>
    </row>
    <row r="107" ht="27.75" customHeight="1">
      <c r="A107" s="413"/>
      <c r="B107" s="413"/>
      <c r="C107" s="413"/>
      <c r="D107" s="413"/>
      <c r="E107" s="413"/>
      <c r="F107" s="413"/>
    </row>
    <row r="108" ht="27.75" customHeight="1">
      <c r="A108" s="413"/>
      <c r="B108" s="413"/>
      <c r="C108" s="413"/>
      <c r="D108" s="413"/>
      <c r="E108" s="413"/>
      <c r="F108" s="413"/>
    </row>
    <row r="109" ht="27.75" customHeight="1">
      <c r="A109" s="413"/>
      <c r="B109" s="413"/>
      <c r="C109" s="413"/>
      <c r="D109" s="413"/>
      <c r="E109" s="413"/>
      <c r="F109" s="413"/>
    </row>
    <row r="110" ht="27.75" customHeight="1">
      <c r="A110" s="413"/>
      <c r="B110" s="413"/>
      <c r="C110" s="413"/>
      <c r="D110" s="413"/>
      <c r="E110" s="413"/>
      <c r="F110" s="413"/>
    </row>
    <row r="111" ht="15.75" customHeight="1">
      <c r="A111" s="413"/>
      <c r="B111" s="413"/>
      <c r="C111" s="413"/>
      <c r="D111" s="413"/>
      <c r="E111" s="413"/>
      <c r="F111" s="413"/>
    </row>
    <row r="112" ht="15.75" customHeight="1">
      <c r="A112" s="413"/>
      <c r="B112" s="413"/>
      <c r="C112" s="413"/>
      <c r="D112" s="413"/>
      <c r="E112" s="413"/>
      <c r="F112" s="413"/>
    </row>
    <row r="113" ht="15.75" customHeight="1">
      <c r="A113" s="413"/>
      <c r="B113" s="413"/>
      <c r="C113" s="413"/>
      <c r="D113" s="413"/>
      <c r="E113" s="413"/>
      <c r="F113" s="413"/>
    </row>
    <row r="114" ht="15.75" customHeight="1">
      <c r="A114" s="413"/>
      <c r="B114" s="413"/>
      <c r="C114" s="413"/>
      <c r="D114" s="413"/>
      <c r="E114" s="413"/>
      <c r="F114" s="413"/>
    </row>
    <row r="115" ht="15.75" customHeight="1">
      <c r="A115" s="413"/>
      <c r="B115" s="413"/>
      <c r="C115" s="413"/>
      <c r="D115" s="413"/>
      <c r="E115" s="413"/>
      <c r="F115" s="413"/>
    </row>
    <row r="116" ht="15.75" customHeight="1">
      <c r="A116" s="413"/>
      <c r="B116" s="413"/>
      <c r="C116" s="413"/>
      <c r="D116" s="413"/>
      <c r="E116" s="413"/>
      <c r="F116" s="413"/>
    </row>
    <row r="117" ht="15.75" customHeight="1">
      <c r="A117" s="413"/>
      <c r="B117" s="413"/>
      <c r="C117" s="413"/>
      <c r="D117" s="413"/>
      <c r="E117" s="413"/>
      <c r="F117" s="413"/>
    </row>
    <row r="118" ht="15.75" customHeight="1">
      <c r="A118" s="413"/>
      <c r="B118" s="413"/>
      <c r="C118" s="413"/>
      <c r="D118" s="413"/>
      <c r="E118" s="413"/>
      <c r="F118" s="413"/>
    </row>
    <row r="119" ht="15.75" customHeight="1">
      <c r="A119" s="413"/>
      <c r="B119" s="413"/>
      <c r="C119" s="413"/>
      <c r="D119" s="413"/>
      <c r="E119" s="413"/>
      <c r="F119" s="413"/>
    </row>
    <row r="120" ht="15.75" customHeight="1">
      <c r="A120" s="413"/>
      <c r="B120" s="413"/>
      <c r="C120" s="413"/>
      <c r="D120" s="413"/>
      <c r="E120" s="413"/>
      <c r="F120" s="413"/>
    </row>
    <row r="121" ht="15.75" customHeight="1">
      <c r="A121" s="413"/>
      <c r="B121" s="413"/>
      <c r="C121" s="413"/>
      <c r="D121" s="413"/>
      <c r="E121" s="413"/>
      <c r="F121" s="413"/>
    </row>
    <row r="122" ht="15.75" customHeight="1">
      <c r="A122" s="413"/>
      <c r="B122" s="413"/>
      <c r="C122" s="413"/>
      <c r="D122" s="413"/>
      <c r="E122" s="413"/>
      <c r="F122" s="413"/>
    </row>
    <row r="123" ht="15.75" customHeight="1">
      <c r="A123" s="413"/>
      <c r="B123" s="413"/>
      <c r="C123" s="413"/>
      <c r="D123" s="413"/>
      <c r="E123" s="413"/>
      <c r="F123" s="413"/>
    </row>
    <row r="124" ht="15.75" customHeight="1">
      <c r="A124" s="413"/>
      <c r="B124" s="413"/>
      <c r="C124" s="413"/>
      <c r="D124" s="413"/>
      <c r="E124" s="413"/>
      <c r="F124" s="413"/>
    </row>
    <row r="125" ht="15.75" customHeight="1">
      <c r="A125" s="413"/>
      <c r="B125" s="413"/>
      <c r="C125" s="413"/>
      <c r="D125" s="413"/>
      <c r="E125" s="413"/>
      <c r="F125" s="413"/>
    </row>
    <row r="126" ht="15.75" customHeight="1">
      <c r="A126" s="413"/>
      <c r="B126" s="413"/>
      <c r="C126" s="413"/>
      <c r="D126" s="413"/>
      <c r="E126" s="413"/>
      <c r="F126" s="413"/>
    </row>
    <row r="127" ht="15.75" customHeight="1">
      <c r="A127" s="413"/>
      <c r="B127" s="413"/>
      <c r="C127" s="413"/>
      <c r="D127" s="413"/>
      <c r="E127" s="413"/>
      <c r="F127" s="413"/>
    </row>
    <row r="128" ht="15.75" customHeight="1">
      <c r="A128" s="413"/>
      <c r="B128" s="413"/>
      <c r="C128" s="413"/>
      <c r="D128" s="413"/>
      <c r="E128" s="413"/>
      <c r="F128" s="413"/>
    </row>
    <row r="129" ht="15.75" customHeight="1">
      <c r="A129" s="413"/>
      <c r="B129" s="413"/>
      <c r="C129" s="413"/>
      <c r="D129" s="413"/>
      <c r="E129" s="413"/>
      <c r="F129" s="413"/>
    </row>
    <row r="130" ht="15.75" customHeight="1">
      <c r="A130" s="413"/>
      <c r="B130" s="413"/>
      <c r="C130" s="413"/>
      <c r="D130" s="413"/>
      <c r="E130" s="413"/>
      <c r="F130" s="413"/>
    </row>
    <row r="131" ht="15.75" customHeight="1">
      <c r="A131" s="413"/>
      <c r="B131" s="413"/>
      <c r="C131" s="413"/>
      <c r="D131" s="413"/>
      <c r="E131" s="413"/>
      <c r="F131" s="413"/>
    </row>
    <row r="132" ht="15.75" customHeight="1">
      <c r="A132" s="413"/>
      <c r="B132" s="413"/>
      <c r="C132" s="413"/>
      <c r="D132" s="413"/>
      <c r="E132" s="413"/>
      <c r="F132" s="413"/>
    </row>
    <row r="133" ht="15.75" customHeight="1">
      <c r="A133" s="413"/>
      <c r="B133" s="413"/>
      <c r="C133" s="413"/>
      <c r="D133" s="413"/>
      <c r="E133" s="413"/>
      <c r="F133" s="413"/>
    </row>
    <row r="134" ht="15.75" customHeight="1">
      <c r="A134" s="413"/>
      <c r="B134" s="413"/>
      <c r="C134" s="413"/>
      <c r="D134" s="413"/>
      <c r="E134" s="413"/>
      <c r="F134" s="413"/>
    </row>
    <row r="135" ht="15.75" customHeight="1">
      <c r="A135" s="413"/>
      <c r="B135" s="413"/>
      <c r="C135" s="413"/>
      <c r="D135" s="413"/>
      <c r="E135" s="413"/>
      <c r="F135" s="413"/>
    </row>
    <row r="136" ht="15.75" customHeight="1">
      <c r="A136" s="413"/>
      <c r="B136" s="413"/>
      <c r="C136" s="413"/>
      <c r="D136" s="413"/>
      <c r="E136" s="413"/>
      <c r="F136" s="413"/>
    </row>
    <row r="137" ht="15.75" customHeight="1">
      <c r="A137" s="413"/>
      <c r="B137" s="413"/>
      <c r="C137" s="413"/>
      <c r="D137" s="413"/>
      <c r="E137" s="413"/>
      <c r="F137" s="413"/>
    </row>
    <row r="138" ht="15.75" customHeight="1">
      <c r="A138" s="413"/>
      <c r="B138" s="413"/>
      <c r="C138" s="413"/>
      <c r="D138" s="413"/>
      <c r="E138" s="413"/>
      <c r="F138" s="413"/>
    </row>
    <row r="139" ht="15.75" customHeight="1">
      <c r="A139" s="413"/>
      <c r="B139" s="413"/>
      <c r="C139" s="413"/>
      <c r="D139" s="413"/>
      <c r="E139" s="413"/>
      <c r="F139" s="413"/>
    </row>
    <row r="140" ht="15.75" customHeight="1">
      <c r="A140" s="413"/>
      <c r="B140" s="413"/>
      <c r="C140" s="413"/>
      <c r="D140" s="413"/>
      <c r="E140" s="413"/>
      <c r="F140" s="413"/>
    </row>
    <row r="141" ht="15.75" customHeight="1">
      <c r="A141" s="413"/>
      <c r="B141" s="413"/>
      <c r="C141" s="413"/>
      <c r="D141" s="413"/>
      <c r="E141" s="413"/>
      <c r="F141" s="413"/>
    </row>
    <row r="142" ht="15.75" customHeight="1">
      <c r="A142" s="413"/>
      <c r="B142" s="413"/>
      <c r="C142" s="413"/>
      <c r="D142" s="413"/>
      <c r="E142" s="413"/>
      <c r="F142" s="413"/>
    </row>
    <row r="143" ht="15.75" customHeight="1">
      <c r="A143" s="413"/>
      <c r="B143" s="413"/>
      <c r="C143" s="413"/>
      <c r="D143" s="413"/>
      <c r="E143" s="413"/>
      <c r="F143" s="413"/>
    </row>
    <row r="144" ht="15.75" customHeight="1">
      <c r="A144" s="413"/>
      <c r="B144" s="413"/>
      <c r="C144" s="413"/>
      <c r="D144" s="413"/>
      <c r="E144" s="413"/>
      <c r="F144" s="413"/>
    </row>
    <row r="145" ht="15.75" customHeight="1">
      <c r="A145" s="413"/>
      <c r="B145" s="413"/>
      <c r="C145" s="413"/>
      <c r="D145" s="413"/>
      <c r="E145" s="413"/>
      <c r="F145" s="413"/>
    </row>
    <row r="146" ht="15.75" customHeight="1">
      <c r="A146" s="413"/>
      <c r="B146" s="413"/>
      <c r="C146" s="413"/>
      <c r="D146" s="413"/>
      <c r="E146" s="413"/>
      <c r="F146" s="413"/>
    </row>
    <row r="147" ht="15.75" customHeight="1">
      <c r="A147" s="413"/>
      <c r="B147" s="413"/>
      <c r="C147" s="413"/>
      <c r="D147" s="413"/>
      <c r="E147" s="413"/>
      <c r="F147" s="413"/>
    </row>
    <row r="148" ht="15.75" customHeight="1">
      <c r="A148" s="413"/>
      <c r="B148" s="413"/>
      <c r="C148" s="413"/>
      <c r="D148" s="413"/>
      <c r="E148" s="413"/>
      <c r="F148" s="413"/>
    </row>
    <row r="149" ht="15.75" customHeight="1">
      <c r="A149" s="413"/>
      <c r="B149" s="413"/>
      <c r="C149" s="413"/>
      <c r="D149" s="413"/>
      <c r="E149" s="413"/>
      <c r="F149" s="413"/>
    </row>
    <row r="150" ht="15.75" customHeight="1">
      <c r="A150" s="413"/>
      <c r="B150" s="413"/>
      <c r="C150" s="413"/>
      <c r="D150" s="413"/>
      <c r="E150" s="413"/>
      <c r="F150" s="413"/>
    </row>
    <row r="151" ht="15.75" customHeight="1">
      <c r="A151" s="413"/>
      <c r="B151" s="413"/>
      <c r="C151" s="413"/>
      <c r="D151" s="413"/>
      <c r="E151" s="413"/>
      <c r="F151" s="413"/>
    </row>
    <row r="152" ht="15.75" customHeight="1">
      <c r="A152" s="413"/>
      <c r="B152" s="413"/>
      <c r="C152" s="413"/>
      <c r="D152" s="413"/>
      <c r="E152" s="413"/>
      <c r="F152" s="413"/>
    </row>
    <row r="153" ht="15.75" customHeight="1">
      <c r="A153" s="413"/>
      <c r="B153" s="413"/>
      <c r="C153" s="413"/>
      <c r="D153" s="413"/>
      <c r="E153" s="413"/>
      <c r="F153" s="413"/>
    </row>
    <row r="154" ht="15.75" customHeight="1">
      <c r="A154" s="413"/>
      <c r="B154" s="413"/>
      <c r="C154" s="413"/>
      <c r="D154" s="413"/>
      <c r="E154" s="413"/>
      <c r="F154" s="413"/>
    </row>
    <row r="155" ht="15.75" customHeight="1">
      <c r="A155" s="413"/>
      <c r="B155" s="413"/>
      <c r="C155" s="413"/>
      <c r="D155" s="413"/>
      <c r="E155" s="413"/>
      <c r="F155" s="413"/>
    </row>
    <row r="156" ht="15.75" customHeight="1">
      <c r="A156" s="413"/>
      <c r="B156" s="413"/>
      <c r="C156" s="413"/>
      <c r="D156" s="413"/>
      <c r="E156" s="413"/>
      <c r="F156" s="413"/>
    </row>
    <row r="157" ht="15.75" customHeight="1">
      <c r="A157" s="413"/>
      <c r="B157" s="413"/>
      <c r="C157" s="413"/>
      <c r="D157" s="413"/>
      <c r="E157" s="413"/>
      <c r="F157" s="413"/>
    </row>
    <row r="158" ht="15.75" customHeight="1">
      <c r="A158" s="413"/>
      <c r="B158" s="413"/>
      <c r="C158" s="413"/>
      <c r="D158" s="413"/>
      <c r="E158" s="413"/>
      <c r="F158" s="413"/>
    </row>
    <row r="159" ht="15.75" customHeight="1">
      <c r="A159" s="413"/>
      <c r="B159" s="413"/>
      <c r="C159" s="413"/>
      <c r="D159" s="413"/>
      <c r="E159" s="413"/>
      <c r="F159" s="413"/>
    </row>
    <row r="160" ht="15.75" customHeight="1">
      <c r="A160" s="413"/>
      <c r="B160" s="413"/>
      <c r="C160" s="413"/>
      <c r="D160" s="413"/>
      <c r="E160" s="413"/>
      <c r="F160" s="413"/>
    </row>
    <row r="161" ht="15.75" customHeight="1">
      <c r="A161" s="413"/>
      <c r="B161" s="413"/>
      <c r="C161" s="413"/>
      <c r="D161" s="413"/>
      <c r="E161" s="413"/>
      <c r="F161" s="413"/>
    </row>
    <row r="162" ht="15.75" customHeight="1">
      <c r="A162" s="413"/>
      <c r="B162" s="413"/>
      <c r="C162" s="413"/>
      <c r="D162" s="413"/>
      <c r="E162" s="413"/>
      <c r="F162" s="413"/>
    </row>
    <row r="163" ht="15.75" customHeight="1">
      <c r="A163" s="413"/>
      <c r="B163" s="413"/>
      <c r="C163" s="413"/>
      <c r="D163" s="413"/>
      <c r="E163" s="413"/>
      <c r="F163" s="413"/>
    </row>
    <row r="164" ht="15.75" customHeight="1">
      <c r="A164" s="413"/>
      <c r="B164" s="413"/>
      <c r="C164" s="413"/>
      <c r="D164" s="413"/>
      <c r="E164" s="413"/>
      <c r="F164" s="413"/>
    </row>
    <row r="165" ht="15.75" customHeight="1">
      <c r="A165" s="413"/>
      <c r="B165" s="413"/>
      <c r="C165" s="413"/>
      <c r="D165" s="413"/>
      <c r="E165" s="413"/>
      <c r="F165" s="413"/>
    </row>
    <row r="166" ht="15.75" customHeight="1">
      <c r="A166" s="413"/>
      <c r="B166" s="413"/>
      <c r="C166" s="413"/>
      <c r="D166" s="413"/>
      <c r="E166" s="413"/>
      <c r="F166" s="413"/>
    </row>
    <row r="167" ht="15.75" customHeight="1">
      <c r="A167" s="413"/>
      <c r="B167" s="413"/>
      <c r="C167" s="413"/>
      <c r="D167" s="413"/>
      <c r="E167" s="413"/>
      <c r="F167" s="413"/>
    </row>
    <row r="168" ht="15.75" customHeight="1">
      <c r="A168" s="413"/>
      <c r="B168" s="413"/>
      <c r="C168" s="413"/>
      <c r="D168" s="413"/>
      <c r="E168" s="413"/>
      <c r="F168" s="413"/>
    </row>
    <row r="169" ht="15.75" customHeight="1">
      <c r="A169" s="413"/>
      <c r="B169" s="413"/>
      <c r="C169" s="413"/>
      <c r="D169" s="413"/>
      <c r="E169" s="413"/>
      <c r="F169" s="413"/>
    </row>
    <row r="170" ht="15.75" customHeight="1">
      <c r="A170" s="413"/>
      <c r="B170" s="413"/>
      <c r="C170" s="413"/>
      <c r="D170" s="413"/>
      <c r="E170" s="413"/>
      <c r="F170" s="413"/>
    </row>
    <row r="171" ht="15.75" customHeight="1">
      <c r="A171" s="413"/>
      <c r="B171" s="413"/>
      <c r="C171" s="413"/>
      <c r="D171" s="413"/>
      <c r="E171" s="413"/>
      <c r="F171" s="413"/>
    </row>
    <row r="172" ht="15.75" customHeight="1">
      <c r="A172" s="413"/>
      <c r="B172" s="413"/>
      <c r="C172" s="413"/>
      <c r="D172" s="413"/>
      <c r="E172" s="413"/>
      <c r="F172" s="413"/>
    </row>
    <row r="173" ht="15.75" customHeight="1">
      <c r="A173" s="413"/>
      <c r="B173" s="413"/>
      <c r="C173" s="413"/>
      <c r="D173" s="413"/>
      <c r="E173" s="413"/>
      <c r="F173" s="413"/>
    </row>
    <row r="174" ht="15.75" customHeight="1">
      <c r="A174" s="413"/>
      <c r="B174" s="413"/>
      <c r="C174" s="413"/>
      <c r="D174" s="413"/>
      <c r="E174" s="413"/>
      <c r="F174" s="413"/>
    </row>
    <row r="175" ht="15.75" customHeight="1">
      <c r="A175" s="413"/>
      <c r="B175" s="413"/>
      <c r="C175" s="413"/>
      <c r="D175" s="413"/>
      <c r="E175" s="413"/>
      <c r="F175" s="413"/>
    </row>
    <row r="176" ht="15.75" customHeight="1">
      <c r="A176" s="413"/>
      <c r="B176" s="413"/>
      <c r="C176" s="413"/>
      <c r="D176" s="413"/>
      <c r="E176" s="413"/>
      <c r="F176" s="413"/>
    </row>
    <row r="177" ht="15.75" customHeight="1">
      <c r="A177" s="413"/>
      <c r="B177" s="413"/>
      <c r="C177" s="413"/>
      <c r="D177" s="413"/>
      <c r="E177" s="413"/>
      <c r="F177" s="413"/>
    </row>
    <row r="178" ht="15.75" customHeight="1">
      <c r="A178" s="413"/>
      <c r="B178" s="413"/>
      <c r="C178" s="413"/>
      <c r="D178" s="413"/>
      <c r="E178" s="413"/>
      <c r="F178" s="413"/>
    </row>
    <row r="179" ht="15.75" customHeight="1">
      <c r="A179" s="413"/>
      <c r="B179" s="413"/>
      <c r="C179" s="413"/>
      <c r="D179" s="413"/>
      <c r="E179" s="413"/>
      <c r="F179" s="413"/>
    </row>
    <row r="180" ht="15.75" customHeight="1">
      <c r="A180" s="413"/>
      <c r="B180" s="413"/>
      <c r="C180" s="413"/>
      <c r="D180" s="413"/>
      <c r="E180" s="413"/>
      <c r="F180" s="413"/>
    </row>
    <row r="181" ht="15.75" customHeight="1">
      <c r="A181" s="413"/>
      <c r="B181" s="413"/>
      <c r="C181" s="413"/>
      <c r="D181" s="413"/>
      <c r="E181" s="413"/>
      <c r="F181" s="413"/>
    </row>
    <row r="182" ht="15.75" customHeight="1">
      <c r="A182" s="413"/>
      <c r="B182" s="413"/>
      <c r="C182" s="413"/>
      <c r="D182" s="413"/>
      <c r="E182" s="413"/>
      <c r="F182" s="413"/>
    </row>
    <row r="183" ht="15.75" customHeight="1">
      <c r="A183" s="413"/>
      <c r="B183" s="413"/>
      <c r="C183" s="413"/>
      <c r="D183" s="413"/>
      <c r="E183" s="413"/>
      <c r="F183" s="413"/>
    </row>
    <row r="184" ht="15.75" customHeight="1">
      <c r="A184" s="413"/>
      <c r="B184" s="413"/>
      <c r="C184" s="413"/>
      <c r="D184" s="413"/>
      <c r="E184" s="413"/>
      <c r="F184" s="413"/>
    </row>
    <row r="185" ht="15.75" customHeight="1">
      <c r="A185" s="413"/>
      <c r="B185" s="413"/>
      <c r="C185" s="413"/>
      <c r="D185" s="413"/>
      <c r="E185" s="413"/>
      <c r="F185" s="413"/>
    </row>
    <row r="186" ht="15.75" customHeight="1">
      <c r="A186" s="413"/>
      <c r="B186" s="413"/>
      <c r="C186" s="413"/>
      <c r="D186" s="413"/>
      <c r="E186" s="413"/>
      <c r="F186" s="413"/>
    </row>
    <row r="187" ht="15.75" customHeight="1">
      <c r="A187" s="413"/>
      <c r="B187" s="413"/>
      <c r="C187" s="413"/>
      <c r="D187" s="413"/>
      <c r="E187" s="413"/>
      <c r="F187" s="413"/>
    </row>
    <row r="188" ht="15.75" customHeight="1">
      <c r="A188" s="413"/>
      <c r="B188" s="413"/>
      <c r="C188" s="413"/>
      <c r="D188" s="413"/>
      <c r="E188" s="413"/>
      <c r="F188" s="413"/>
    </row>
    <row r="189" ht="15.75" customHeight="1">
      <c r="A189" s="413"/>
      <c r="B189" s="413"/>
      <c r="C189" s="413"/>
      <c r="D189" s="413"/>
      <c r="E189" s="413"/>
      <c r="F189" s="413"/>
    </row>
    <row r="190" ht="15.75" customHeight="1">
      <c r="A190" s="413"/>
      <c r="B190" s="413"/>
      <c r="C190" s="413"/>
      <c r="D190" s="413"/>
      <c r="E190" s="413"/>
      <c r="F190" s="413"/>
    </row>
    <row r="191" ht="15.75" customHeight="1">
      <c r="A191" s="413"/>
      <c r="B191" s="413"/>
      <c r="C191" s="413"/>
      <c r="D191" s="413"/>
      <c r="E191" s="413"/>
      <c r="F191" s="413"/>
    </row>
    <row r="192" ht="15.75" customHeight="1">
      <c r="A192" s="413"/>
      <c r="B192" s="413"/>
      <c r="C192" s="413"/>
      <c r="D192" s="413"/>
      <c r="E192" s="413"/>
      <c r="F192" s="413"/>
    </row>
    <row r="193" ht="15.75" customHeight="1">
      <c r="A193" s="413"/>
      <c r="B193" s="413"/>
      <c r="C193" s="413"/>
      <c r="D193" s="413"/>
      <c r="E193" s="413"/>
      <c r="F193" s="413"/>
    </row>
    <row r="194" ht="15.75" customHeight="1">
      <c r="A194" s="413"/>
      <c r="B194" s="413"/>
      <c r="C194" s="413"/>
      <c r="D194" s="413"/>
      <c r="E194" s="413"/>
      <c r="F194" s="413"/>
    </row>
    <row r="195" ht="15.75" customHeight="1">
      <c r="A195" s="413"/>
      <c r="B195" s="413"/>
      <c r="C195" s="413"/>
      <c r="D195" s="413"/>
      <c r="E195" s="413"/>
      <c r="F195" s="413"/>
    </row>
    <row r="196" ht="15.75" customHeight="1">
      <c r="A196" s="413"/>
      <c r="B196" s="413"/>
      <c r="C196" s="413"/>
      <c r="D196" s="413"/>
      <c r="E196" s="413"/>
      <c r="F196" s="413"/>
    </row>
    <row r="197" ht="15.75" customHeight="1">
      <c r="A197" s="413"/>
      <c r="B197" s="413"/>
      <c r="C197" s="413"/>
      <c r="D197" s="413"/>
      <c r="E197" s="413"/>
      <c r="F197" s="413"/>
    </row>
    <row r="198" ht="15.75" customHeight="1">
      <c r="A198" s="413"/>
      <c r="B198" s="413"/>
      <c r="C198" s="413"/>
      <c r="D198" s="413"/>
      <c r="E198" s="413"/>
      <c r="F198" s="413"/>
    </row>
    <row r="199" ht="15.75" customHeight="1">
      <c r="A199" s="413"/>
      <c r="B199" s="413"/>
      <c r="C199" s="413"/>
      <c r="D199" s="413"/>
      <c r="E199" s="413"/>
      <c r="F199" s="413"/>
    </row>
    <row r="200" ht="15.75" customHeight="1">
      <c r="A200" s="413"/>
      <c r="B200" s="413"/>
      <c r="C200" s="413"/>
      <c r="D200" s="413"/>
      <c r="E200" s="413"/>
      <c r="F200" s="413"/>
    </row>
    <row r="201" ht="25.5" customHeight="1">
      <c r="A201" s="413"/>
      <c r="B201" s="413"/>
      <c r="C201" s="413"/>
      <c r="D201" s="413"/>
      <c r="E201" s="413"/>
      <c r="F201" s="413"/>
    </row>
    <row r="202" ht="15.75" customHeight="1">
      <c r="A202" s="413"/>
      <c r="B202" s="413"/>
      <c r="C202" s="413"/>
      <c r="D202" s="413"/>
      <c r="E202" s="413"/>
      <c r="F202" s="413"/>
    </row>
    <row r="203" ht="15.75" customHeight="1">
      <c r="A203" s="413"/>
      <c r="B203" s="413"/>
      <c r="C203" s="413"/>
      <c r="D203" s="413"/>
      <c r="E203" s="413"/>
      <c r="F203" s="413"/>
    </row>
    <row r="204" ht="15.75" customHeight="1">
      <c r="A204" s="413"/>
      <c r="B204" s="413"/>
      <c r="C204" s="413"/>
      <c r="D204" s="413"/>
      <c r="E204" s="413"/>
      <c r="F204" s="413"/>
    </row>
    <row r="205" ht="15.75" customHeight="1">
      <c r="A205" s="413"/>
      <c r="B205" s="413"/>
      <c r="C205" s="413"/>
      <c r="D205" s="413"/>
      <c r="E205" s="413"/>
      <c r="F205" s="413"/>
    </row>
    <row r="206" ht="15.75" customHeight="1">
      <c r="A206" s="413"/>
      <c r="B206" s="413"/>
      <c r="C206" s="413"/>
      <c r="D206" s="413"/>
      <c r="E206" s="413"/>
      <c r="F206" s="413"/>
    </row>
    <row r="207" ht="15.75" customHeight="1">
      <c r="A207" s="413"/>
      <c r="B207" s="413"/>
      <c r="C207" s="413"/>
      <c r="D207" s="413"/>
      <c r="E207" s="413"/>
      <c r="F207" s="413"/>
    </row>
    <row r="208" ht="15.75" customHeight="1">
      <c r="A208" s="413"/>
      <c r="B208" s="413"/>
      <c r="C208" s="413"/>
      <c r="D208" s="413"/>
      <c r="E208" s="413"/>
      <c r="F208" s="413"/>
    </row>
    <row r="209" ht="15.75" customHeight="1">
      <c r="A209" s="413"/>
      <c r="B209" s="413"/>
      <c r="C209" s="413"/>
      <c r="D209" s="413"/>
      <c r="E209" s="413"/>
      <c r="F209" s="413"/>
    </row>
    <row r="210" ht="15.75" customHeight="1">
      <c r="A210" s="413"/>
      <c r="B210" s="413"/>
      <c r="C210" s="413"/>
      <c r="D210" s="413"/>
      <c r="E210" s="413"/>
      <c r="F210" s="413"/>
    </row>
    <row r="211" ht="15.75" customHeight="1">
      <c r="A211" s="413"/>
      <c r="B211" s="413"/>
      <c r="C211" s="413"/>
      <c r="D211" s="413"/>
      <c r="E211" s="413"/>
      <c r="F211" s="413"/>
    </row>
    <row r="212" ht="15.75" customHeight="1">
      <c r="A212" s="413"/>
      <c r="B212" s="413"/>
      <c r="C212" s="413"/>
      <c r="D212" s="413"/>
      <c r="E212" s="413"/>
      <c r="F212" s="413"/>
    </row>
    <row r="213" ht="15.75" customHeight="1">
      <c r="A213" s="413"/>
      <c r="B213" s="413"/>
      <c r="C213" s="413"/>
      <c r="D213" s="413"/>
      <c r="E213" s="413"/>
      <c r="F213" s="413"/>
    </row>
    <row r="214" ht="15.75" customHeight="1">
      <c r="A214" s="413"/>
      <c r="B214" s="413"/>
      <c r="C214" s="413"/>
      <c r="D214" s="413"/>
      <c r="E214" s="413"/>
      <c r="F214" s="413"/>
    </row>
    <row r="215" ht="15.75" customHeight="1">
      <c r="A215" s="413"/>
      <c r="B215" s="413"/>
      <c r="C215" s="413"/>
      <c r="D215" s="413"/>
      <c r="E215" s="413"/>
      <c r="F215" s="413"/>
    </row>
    <row r="216" ht="15.75" customHeight="1">
      <c r="A216" s="413"/>
      <c r="B216" s="413"/>
      <c r="C216" s="413"/>
      <c r="D216" s="413"/>
      <c r="E216" s="413"/>
      <c r="F216" s="413"/>
    </row>
    <row r="217" ht="15.75" customHeight="1">
      <c r="A217" s="413"/>
      <c r="B217" s="413"/>
      <c r="C217" s="413"/>
      <c r="D217" s="413"/>
      <c r="E217" s="413"/>
      <c r="F217" s="413"/>
    </row>
    <row r="218" ht="15.75" customHeight="1">
      <c r="A218" s="413"/>
      <c r="B218" s="413"/>
      <c r="C218" s="413"/>
      <c r="D218" s="413"/>
      <c r="E218" s="413"/>
      <c r="F218" s="413"/>
    </row>
    <row r="219" ht="15.75" customHeight="1">
      <c r="A219" s="413"/>
      <c r="B219" s="413"/>
      <c r="C219" s="413"/>
      <c r="D219" s="413"/>
      <c r="E219" s="413"/>
      <c r="F219" s="413"/>
    </row>
    <row r="220" ht="15.75" customHeight="1">
      <c r="A220" s="413"/>
      <c r="B220" s="413"/>
      <c r="C220" s="413"/>
      <c r="D220" s="413"/>
      <c r="E220" s="413"/>
      <c r="F220" s="413"/>
    </row>
    <row r="221" ht="15.75" customHeight="1">
      <c r="A221" s="413"/>
      <c r="B221" s="413"/>
      <c r="C221" s="413"/>
      <c r="D221" s="413"/>
      <c r="E221" s="413"/>
      <c r="F221" s="413"/>
    </row>
    <row r="222" ht="15.75" customHeight="1">
      <c r="A222" s="413"/>
      <c r="B222" s="413"/>
      <c r="C222" s="413"/>
      <c r="D222" s="413"/>
      <c r="E222" s="413"/>
      <c r="F222" s="413"/>
    </row>
    <row r="223" ht="15.75" customHeight="1">
      <c r="A223" s="413"/>
      <c r="B223" s="413"/>
      <c r="C223" s="413"/>
      <c r="D223" s="413"/>
      <c r="E223" s="413"/>
      <c r="F223" s="413"/>
    </row>
    <row r="224" ht="15.75" customHeight="1">
      <c r="A224" s="413"/>
      <c r="B224" s="413"/>
      <c r="C224" s="413"/>
      <c r="D224" s="413"/>
      <c r="E224" s="413"/>
      <c r="F224" s="413"/>
    </row>
    <row r="225" ht="15.75" customHeight="1">
      <c r="A225" s="413"/>
      <c r="B225" s="413"/>
      <c r="C225" s="413"/>
      <c r="D225" s="413"/>
      <c r="E225" s="413"/>
      <c r="F225" s="413"/>
    </row>
    <row r="226" ht="15.75" customHeight="1">
      <c r="A226" s="413"/>
      <c r="B226" s="413"/>
      <c r="C226" s="413"/>
      <c r="D226" s="413"/>
      <c r="E226" s="413"/>
      <c r="F226" s="413"/>
    </row>
    <row r="227" ht="15.75" customHeight="1">
      <c r="A227" s="413"/>
      <c r="B227" s="413"/>
      <c r="C227" s="413"/>
      <c r="D227" s="413"/>
      <c r="E227" s="413"/>
      <c r="F227" s="413"/>
    </row>
    <row r="228" ht="15.75" customHeight="1">
      <c r="A228" s="413"/>
      <c r="B228" s="413"/>
      <c r="C228" s="413"/>
      <c r="D228" s="413"/>
      <c r="E228" s="413"/>
      <c r="F228" s="413"/>
    </row>
    <row r="229" ht="15.75" customHeight="1">
      <c r="A229" s="413"/>
      <c r="B229" s="413"/>
      <c r="C229" s="413"/>
      <c r="D229" s="413"/>
      <c r="E229" s="413"/>
      <c r="F229" s="413"/>
    </row>
    <row r="230" ht="15.75" customHeight="1">
      <c r="A230" s="413"/>
      <c r="B230" s="413"/>
      <c r="C230" s="413"/>
      <c r="D230" s="413"/>
      <c r="E230" s="413"/>
      <c r="F230" s="413"/>
    </row>
    <row r="231" ht="15.75" customHeight="1">
      <c r="A231" s="413"/>
      <c r="B231" s="413"/>
      <c r="C231" s="413"/>
      <c r="D231" s="413"/>
      <c r="E231" s="413"/>
      <c r="F231" s="413"/>
    </row>
    <row r="232" ht="15.75" customHeight="1">
      <c r="A232" s="413"/>
      <c r="B232" s="413"/>
      <c r="C232" s="413"/>
      <c r="D232" s="413"/>
      <c r="E232" s="413"/>
      <c r="F232" s="413"/>
    </row>
    <row r="233" ht="15.75" customHeight="1">
      <c r="A233" s="413"/>
      <c r="B233" s="413"/>
      <c r="C233" s="413"/>
      <c r="D233" s="413"/>
      <c r="E233" s="413"/>
      <c r="F233" s="413"/>
    </row>
    <row r="234" ht="15.75" customHeight="1">
      <c r="A234" s="413"/>
      <c r="B234" s="413"/>
      <c r="C234" s="413"/>
      <c r="D234" s="413"/>
      <c r="E234" s="413"/>
      <c r="F234" s="413"/>
    </row>
    <row r="235" ht="15.75" customHeight="1">
      <c r="A235" s="413"/>
      <c r="B235" s="413"/>
      <c r="C235" s="413"/>
      <c r="D235" s="413"/>
      <c r="E235" s="413"/>
      <c r="F235" s="413"/>
    </row>
    <row r="236" ht="15.75" customHeight="1">
      <c r="A236" s="413"/>
      <c r="B236" s="413"/>
      <c r="C236" s="413"/>
      <c r="D236" s="413"/>
      <c r="E236" s="413"/>
      <c r="F236" s="413"/>
    </row>
    <row r="237" ht="15.75" customHeight="1">
      <c r="A237" s="413"/>
      <c r="B237" s="413"/>
      <c r="C237" s="413"/>
      <c r="D237" s="413"/>
      <c r="E237" s="413"/>
      <c r="F237" s="413"/>
    </row>
    <row r="238" ht="15.75" customHeight="1">
      <c r="A238" s="413"/>
      <c r="B238" s="413"/>
      <c r="C238" s="413"/>
      <c r="D238" s="413"/>
      <c r="E238" s="413"/>
      <c r="F238" s="413"/>
    </row>
    <row r="239" ht="15.75" customHeight="1">
      <c r="A239" s="413"/>
      <c r="B239" s="413"/>
      <c r="C239" s="413"/>
      <c r="D239" s="413"/>
      <c r="E239" s="413"/>
      <c r="F239" s="413"/>
    </row>
    <row r="240" ht="15.75" customHeight="1">
      <c r="A240" s="413"/>
      <c r="B240" s="413"/>
      <c r="C240" s="413"/>
      <c r="D240" s="413"/>
      <c r="E240" s="413"/>
      <c r="F240" s="413"/>
    </row>
    <row r="241" ht="15.75" customHeight="1">
      <c r="A241" s="413"/>
      <c r="B241" s="413"/>
      <c r="C241" s="413"/>
      <c r="D241" s="413"/>
      <c r="E241" s="413"/>
      <c r="F241" s="413"/>
    </row>
    <row r="242" ht="15.75" customHeight="1">
      <c r="A242" s="413"/>
      <c r="B242" s="413"/>
      <c r="C242" s="413"/>
      <c r="D242" s="413"/>
      <c r="E242" s="413"/>
      <c r="F242" s="413"/>
    </row>
    <row r="243" ht="15.75" customHeight="1">
      <c r="A243" s="413"/>
      <c r="B243" s="413"/>
      <c r="C243" s="413"/>
      <c r="D243" s="413"/>
      <c r="E243" s="413"/>
      <c r="F243" s="413"/>
    </row>
    <row r="244" ht="15.75" customHeight="1">
      <c r="A244" s="413"/>
      <c r="B244" s="413"/>
      <c r="C244" s="413"/>
      <c r="D244" s="413"/>
      <c r="E244" s="413"/>
      <c r="F244" s="413"/>
    </row>
    <row r="245" ht="15.75" customHeight="1">
      <c r="A245" s="413"/>
      <c r="B245" s="413"/>
      <c r="C245" s="413"/>
      <c r="D245" s="413"/>
      <c r="E245" s="413"/>
      <c r="F245" s="413"/>
    </row>
    <row r="246" ht="15.75" customHeight="1">
      <c r="A246" s="413"/>
      <c r="B246" s="413"/>
      <c r="C246" s="413"/>
      <c r="D246" s="413"/>
      <c r="E246" s="413"/>
      <c r="F246" s="413"/>
    </row>
    <row r="247" ht="15.75" customHeight="1">
      <c r="A247" s="413"/>
      <c r="B247" s="413"/>
      <c r="C247" s="413"/>
      <c r="D247" s="413"/>
      <c r="E247" s="413"/>
      <c r="F247" s="413"/>
    </row>
    <row r="248" ht="15.75" customHeight="1">
      <c r="A248" s="413"/>
      <c r="B248" s="413"/>
      <c r="C248" s="413"/>
      <c r="D248" s="413"/>
      <c r="E248" s="413"/>
      <c r="F248" s="413"/>
    </row>
    <row r="249" ht="15.75" customHeight="1">
      <c r="A249" s="413"/>
      <c r="B249" s="413"/>
      <c r="C249" s="413"/>
      <c r="D249" s="413"/>
      <c r="E249" s="413"/>
      <c r="F249" s="413"/>
    </row>
    <row r="250" ht="15.75" customHeight="1">
      <c r="A250" s="413"/>
      <c r="B250" s="413"/>
      <c r="C250" s="413"/>
      <c r="D250" s="413"/>
      <c r="E250" s="413"/>
      <c r="F250" s="413"/>
    </row>
    <row r="251" ht="15.75" customHeight="1">
      <c r="A251" s="413"/>
      <c r="B251" s="413"/>
      <c r="C251" s="413"/>
      <c r="D251" s="413"/>
      <c r="E251" s="413"/>
      <c r="F251" s="413"/>
    </row>
    <row r="252" ht="15.75" customHeight="1">
      <c r="A252" s="413"/>
      <c r="B252" s="413"/>
      <c r="C252" s="413"/>
      <c r="D252" s="413"/>
      <c r="E252" s="413"/>
      <c r="F252" s="413"/>
    </row>
    <row r="253" ht="15.75" customHeight="1">
      <c r="A253" s="413"/>
      <c r="B253" s="413"/>
      <c r="C253" s="413"/>
      <c r="D253" s="413"/>
      <c r="E253" s="413"/>
      <c r="F253" s="413"/>
    </row>
    <row r="254" ht="15.75" customHeight="1">
      <c r="A254" s="413"/>
      <c r="B254" s="413"/>
      <c r="C254" s="413"/>
      <c r="D254" s="413"/>
      <c r="E254" s="413"/>
      <c r="F254" s="413"/>
    </row>
    <row r="255" ht="15.75" customHeight="1">
      <c r="A255" s="413"/>
      <c r="B255" s="413"/>
      <c r="C255" s="413"/>
      <c r="D255" s="413"/>
      <c r="E255" s="413"/>
      <c r="F255" s="413"/>
    </row>
    <row r="256" ht="15.75" customHeight="1">
      <c r="A256" s="413"/>
      <c r="B256" s="413"/>
      <c r="C256" s="413"/>
      <c r="D256" s="413"/>
      <c r="E256" s="413"/>
      <c r="F256" s="413"/>
    </row>
    <row r="257" ht="15.75" customHeight="1">
      <c r="A257" s="413"/>
      <c r="B257" s="413"/>
      <c r="C257" s="413"/>
      <c r="D257" s="413"/>
      <c r="E257" s="413"/>
      <c r="F257" s="413"/>
    </row>
    <row r="258" ht="15.75" customHeight="1">
      <c r="A258" s="413"/>
      <c r="B258" s="413"/>
      <c r="C258" s="413"/>
      <c r="D258" s="413"/>
      <c r="E258" s="413"/>
      <c r="F258" s="413"/>
    </row>
    <row r="259" ht="15.75" customHeight="1">
      <c r="A259" s="413"/>
      <c r="B259" s="413"/>
      <c r="C259" s="413"/>
      <c r="D259" s="413"/>
      <c r="E259" s="413"/>
      <c r="F259" s="413"/>
    </row>
    <row r="260" ht="15.75" customHeight="1">
      <c r="A260" s="413"/>
      <c r="B260" s="413"/>
      <c r="C260" s="413"/>
      <c r="D260" s="413"/>
      <c r="E260" s="413"/>
      <c r="F260" s="413"/>
    </row>
    <row r="261" ht="15.75" customHeight="1">
      <c r="A261" s="413"/>
      <c r="B261" s="413"/>
      <c r="C261" s="413"/>
      <c r="D261" s="413"/>
      <c r="E261" s="413"/>
      <c r="F261" s="413"/>
    </row>
    <row r="262" ht="15.75" customHeight="1">
      <c r="A262" s="413"/>
      <c r="B262" s="413"/>
      <c r="C262" s="413"/>
      <c r="D262" s="413"/>
      <c r="E262" s="413"/>
      <c r="F262" s="413"/>
    </row>
    <row r="263" ht="15.75" customHeight="1">
      <c r="A263" s="413"/>
      <c r="B263" s="413"/>
      <c r="C263" s="413"/>
      <c r="D263" s="413"/>
      <c r="E263" s="413"/>
      <c r="F263" s="413"/>
    </row>
    <row r="264" ht="15.75" customHeight="1">
      <c r="A264" s="413"/>
      <c r="B264" s="413"/>
      <c r="C264" s="413"/>
      <c r="D264" s="413"/>
      <c r="E264" s="413"/>
      <c r="F264" s="413"/>
    </row>
    <row r="265" ht="15.75" customHeight="1">
      <c r="A265" s="413"/>
      <c r="B265" s="413"/>
      <c r="C265" s="413"/>
      <c r="D265" s="413"/>
      <c r="E265" s="413"/>
      <c r="F265" s="413"/>
    </row>
    <row r="266" ht="15.75" customHeight="1">
      <c r="A266" s="413"/>
      <c r="B266" s="413"/>
      <c r="C266" s="413"/>
      <c r="D266" s="413"/>
      <c r="E266" s="413"/>
      <c r="F266" s="413"/>
    </row>
    <row r="267" ht="15.75" customHeight="1">
      <c r="A267" s="413"/>
      <c r="B267" s="413"/>
      <c r="C267" s="413"/>
      <c r="D267" s="413"/>
      <c r="E267" s="413"/>
      <c r="F267" s="413"/>
    </row>
    <row r="268" ht="15.75" customHeight="1">
      <c r="A268" s="413"/>
      <c r="B268" s="413"/>
      <c r="C268" s="413"/>
      <c r="D268" s="413"/>
      <c r="E268" s="413"/>
      <c r="F268" s="413"/>
    </row>
    <row r="269" ht="15.75" customHeight="1">
      <c r="A269" s="413"/>
      <c r="B269" s="413"/>
      <c r="C269" s="413"/>
      <c r="D269" s="413"/>
      <c r="E269" s="413"/>
      <c r="F269" s="413"/>
    </row>
    <row r="270" ht="15.75" customHeight="1">
      <c r="A270" s="413"/>
      <c r="B270" s="413"/>
      <c r="C270" s="413"/>
      <c r="D270" s="413"/>
      <c r="E270" s="413"/>
      <c r="F270" s="413"/>
    </row>
    <row r="271" ht="15.75" customHeight="1">
      <c r="A271" s="413"/>
      <c r="B271" s="413"/>
      <c r="C271" s="413"/>
      <c r="D271" s="413"/>
      <c r="E271" s="413"/>
      <c r="F271" s="413"/>
    </row>
    <row r="272" ht="15.75" customHeight="1">
      <c r="A272" s="413"/>
      <c r="B272" s="413"/>
      <c r="C272" s="413"/>
      <c r="D272" s="413"/>
      <c r="E272" s="413"/>
      <c r="F272" s="413"/>
    </row>
    <row r="273" ht="15.75" customHeight="1">
      <c r="A273" s="413"/>
      <c r="B273" s="413"/>
      <c r="C273" s="413"/>
      <c r="D273" s="413"/>
      <c r="E273" s="413"/>
      <c r="F273" s="413"/>
    </row>
    <row r="274" ht="15.75" customHeight="1">
      <c r="A274" s="413"/>
      <c r="B274" s="413"/>
      <c r="C274" s="413"/>
      <c r="D274" s="413"/>
      <c r="E274" s="413"/>
      <c r="F274" s="413"/>
    </row>
    <row r="275" ht="15.75" customHeight="1">
      <c r="A275" s="413"/>
      <c r="B275" s="413"/>
      <c r="C275" s="413"/>
      <c r="D275" s="413"/>
      <c r="E275" s="413"/>
      <c r="F275" s="413"/>
    </row>
    <row r="276" ht="15.75" customHeight="1">
      <c r="A276" s="413"/>
      <c r="B276" s="413"/>
      <c r="C276" s="413"/>
      <c r="D276" s="413"/>
      <c r="E276" s="413"/>
      <c r="F276" s="413"/>
    </row>
    <row r="277" ht="15.75" customHeight="1">
      <c r="A277" s="413"/>
      <c r="B277" s="413"/>
      <c r="C277" s="413"/>
      <c r="D277" s="413"/>
      <c r="E277" s="413"/>
      <c r="F277" s="413"/>
    </row>
    <row r="278" ht="15.75" customHeight="1">
      <c r="A278" s="413"/>
      <c r="B278" s="413"/>
      <c r="C278" s="413"/>
      <c r="D278" s="413"/>
      <c r="E278" s="413"/>
      <c r="F278" s="413"/>
    </row>
    <row r="279" ht="15.75" customHeight="1">
      <c r="A279" s="413"/>
      <c r="B279" s="413"/>
      <c r="C279" s="413"/>
      <c r="D279" s="413"/>
      <c r="E279" s="413"/>
      <c r="F279" s="413"/>
    </row>
    <row r="280" ht="15.75" customHeight="1">
      <c r="A280" s="413"/>
      <c r="B280" s="413"/>
      <c r="C280" s="413"/>
      <c r="D280" s="413"/>
      <c r="E280" s="413"/>
      <c r="F280" s="413"/>
    </row>
    <row r="281" ht="15.75" customHeight="1">
      <c r="A281" s="413"/>
      <c r="B281" s="413"/>
      <c r="C281" s="413"/>
      <c r="D281" s="413"/>
      <c r="E281" s="413"/>
      <c r="F281" s="413"/>
    </row>
    <row r="282" ht="15.75" customHeight="1">
      <c r="A282" s="413"/>
      <c r="B282" s="413"/>
      <c r="C282" s="413"/>
      <c r="D282" s="413"/>
      <c r="E282" s="413"/>
      <c r="F282" s="413"/>
    </row>
    <row r="283" ht="15.75" customHeight="1">
      <c r="A283" s="413"/>
      <c r="B283" s="413"/>
      <c r="C283" s="413"/>
      <c r="D283" s="413"/>
      <c r="E283" s="413"/>
      <c r="F283" s="413"/>
    </row>
    <row r="284" ht="15.75" customHeight="1">
      <c r="A284" s="413"/>
      <c r="B284" s="413"/>
      <c r="C284" s="413"/>
      <c r="D284" s="413"/>
      <c r="E284" s="413"/>
      <c r="F284" s="413"/>
    </row>
    <row r="285" ht="15.75" customHeight="1">
      <c r="A285" s="413"/>
      <c r="B285" s="413"/>
      <c r="C285" s="413"/>
      <c r="D285" s="413"/>
      <c r="E285" s="413"/>
      <c r="F285" s="413"/>
    </row>
    <row r="286" ht="15.75" customHeight="1">
      <c r="A286" s="413"/>
      <c r="B286" s="413"/>
      <c r="C286" s="413"/>
      <c r="D286" s="413"/>
      <c r="E286" s="413"/>
      <c r="F286" s="413"/>
    </row>
    <row r="287" ht="15.75" customHeight="1">
      <c r="A287" s="413"/>
      <c r="B287" s="413"/>
      <c r="C287" s="413"/>
      <c r="D287" s="413"/>
      <c r="E287" s="413"/>
      <c r="F287" s="413"/>
    </row>
    <row r="288" ht="15.75" customHeight="1">
      <c r="A288" s="413"/>
      <c r="B288" s="413"/>
      <c r="C288" s="413"/>
      <c r="D288" s="413"/>
      <c r="E288" s="413"/>
      <c r="F288" s="413"/>
    </row>
    <row r="289" ht="15.75" customHeight="1">
      <c r="A289" s="413"/>
      <c r="B289" s="413"/>
      <c r="C289" s="413"/>
      <c r="D289" s="413"/>
      <c r="E289" s="413"/>
      <c r="F289" s="413"/>
    </row>
    <row r="290" ht="15.75" customHeight="1">
      <c r="A290" s="413"/>
      <c r="B290" s="413"/>
      <c r="C290" s="413"/>
      <c r="D290" s="413"/>
      <c r="E290" s="413"/>
      <c r="F290" s="413"/>
    </row>
    <row r="291" ht="15.75" customHeight="1">
      <c r="A291" s="413"/>
      <c r="B291" s="413"/>
      <c r="C291" s="413"/>
      <c r="D291" s="413"/>
      <c r="E291" s="413"/>
      <c r="F291" s="413"/>
    </row>
    <row r="292" ht="15.75" customHeight="1">
      <c r="A292" s="413"/>
      <c r="B292" s="413"/>
      <c r="C292" s="413"/>
      <c r="D292" s="413"/>
      <c r="E292" s="413"/>
      <c r="F292" s="413"/>
    </row>
    <row r="293" ht="15.75" customHeight="1">
      <c r="A293" s="413"/>
      <c r="B293" s="413"/>
      <c r="C293" s="413"/>
      <c r="D293" s="413"/>
      <c r="E293" s="413"/>
      <c r="F293" s="413"/>
    </row>
    <row r="294" ht="15.75" customHeight="1">
      <c r="A294" s="413"/>
      <c r="B294" s="413"/>
      <c r="C294" s="413"/>
      <c r="D294" s="413"/>
      <c r="E294" s="413"/>
      <c r="F294" s="413"/>
    </row>
    <row r="295" ht="15.75" customHeight="1">
      <c r="A295" s="413"/>
      <c r="B295" s="413"/>
      <c r="C295" s="413"/>
      <c r="D295" s="413"/>
      <c r="E295" s="413"/>
      <c r="F295" s="413"/>
    </row>
    <row r="296" ht="15.75" customHeight="1">
      <c r="A296" s="413"/>
      <c r="B296" s="413"/>
      <c r="C296" s="413"/>
      <c r="D296" s="413"/>
      <c r="E296" s="413"/>
      <c r="F296" s="413"/>
    </row>
    <row r="297" ht="15.75" customHeight="1">
      <c r="A297" s="413"/>
      <c r="B297" s="413"/>
      <c r="C297" s="413"/>
      <c r="D297" s="413"/>
      <c r="E297" s="413"/>
      <c r="F297" s="413"/>
    </row>
    <row r="298" ht="15.75" customHeight="1">
      <c r="A298" s="413"/>
      <c r="B298" s="413"/>
      <c r="C298" s="413"/>
      <c r="D298" s="413"/>
      <c r="E298" s="413"/>
      <c r="F298" s="413"/>
    </row>
    <row r="299" ht="15.75" customHeight="1">
      <c r="A299" s="413"/>
      <c r="B299" s="413"/>
      <c r="C299" s="413"/>
      <c r="D299" s="413"/>
      <c r="E299" s="413"/>
      <c r="F299" s="413"/>
    </row>
    <row r="300" ht="15.75" customHeight="1">
      <c r="A300" s="413"/>
      <c r="B300" s="413"/>
      <c r="C300" s="413"/>
      <c r="D300" s="413"/>
      <c r="E300" s="413"/>
      <c r="F300" s="413"/>
    </row>
    <row r="301" ht="15.75" customHeight="1">
      <c r="A301" s="413"/>
      <c r="B301" s="413"/>
      <c r="C301" s="413"/>
      <c r="D301" s="413"/>
      <c r="E301" s="413"/>
      <c r="F301" s="413"/>
    </row>
    <row r="302" ht="15.75" customHeight="1">
      <c r="A302" s="413"/>
      <c r="B302" s="413"/>
      <c r="C302" s="413"/>
      <c r="D302" s="413"/>
      <c r="E302" s="413"/>
      <c r="F302" s="413"/>
    </row>
    <row r="303" ht="15.75" customHeight="1">
      <c r="A303" s="458"/>
      <c r="B303" s="458"/>
      <c r="C303" s="458"/>
      <c r="D303" s="458"/>
      <c r="E303" s="458"/>
      <c r="F303" s="458"/>
    </row>
    <row r="304" ht="15.75" customHeight="1">
      <c r="A304" s="458"/>
      <c r="B304" s="458"/>
      <c r="C304" s="458"/>
      <c r="D304" s="458"/>
      <c r="E304" s="458"/>
      <c r="F304" s="458"/>
    </row>
    <row r="305" ht="15.75" customHeight="1">
      <c r="A305" s="458"/>
      <c r="B305" s="458"/>
      <c r="C305" s="458"/>
      <c r="D305" s="458"/>
      <c r="E305" s="458"/>
      <c r="F305" s="458"/>
    </row>
    <row r="306" ht="15.75" customHeight="1">
      <c r="A306" s="458"/>
      <c r="B306" s="458"/>
      <c r="C306" s="458"/>
      <c r="D306" s="458"/>
      <c r="E306" s="458"/>
      <c r="F306" s="458"/>
    </row>
    <row r="307" ht="15.75" customHeight="1">
      <c r="A307" s="458"/>
      <c r="B307" s="458"/>
      <c r="C307" s="458"/>
      <c r="D307" s="458"/>
      <c r="E307" s="458"/>
      <c r="F307" s="458"/>
    </row>
    <row r="308" ht="15.75" customHeight="1">
      <c r="A308" s="458"/>
      <c r="B308" s="458"/>
      <c r="C308" s="458"/>
      <c r="D308" s="458"/>
      <c r="E308" s="458"/>
      <c r="F308" s="458"/>
    </row>
    <row r="309" ht="15.75" customHeight="1">
      <c r="A309" s="458"/>
      <c r="B309" s="458"/>
      <c r="C309" s="458"/>
      <c r="D309" s="458"/>
      <c r="E309" s="458"/>
      <c r="F309" s="458"/>
    </row>
    <row r="310" ht="15.75" customHeight="1">
      <c r="A310" s="458"/>
      <c r="B310" s="458"/>
      <c r="C310" s="458"/>
      <c r="D310" s="458"/>
      <c r="E310" s="458"/>
      <c r="F310" s="458"/>
    </row>
    <row r="311" ht="15.75" customHeight="1">
      <c r="A311" s="458"/>
      <c r="B311" s="458"/>
      <c r="C311" s="458"/>
      <c r="D311" s="458"/>
      <c r="E311" s="458"/>
      <c r="F311" s="458"/>
    </row>
    <row r="312" ht="15.75" customHeight="1">
      <c r="A312" s="458"/>
      <c r="B312" s="458"/>
      <c r="C312" s="458"/>
      <c r="D312" s="458"/>
      <c r="E312" s="458"/>
      <c r="F312" s="458"/>
    </row>
    <row r="313" ht="15.75" customHeight="1">
      <c r="A313" s="458"/>
      <c r="B313" s="458"/>
      <c r="C313" s="458"/>
      <c r="D313" s="458"/>
      <c r="E313" s="458"/>
      <c r="F313" s="458"/>
    </row>
    <row r="314" ht="15.75" customHeight="1">
      <c r="A314" s="458"/>
      <c r="B314" s="458"/>
      <c r="C314" s="458"/>
      <c r="D314" s="458"/>
      <c r="E314" s="458"/>
      <c r="F314" s="458"/>
    </row>
    <row r="315" ht="15.75" customHeight="1">
      <c r="A315" s="458"/>
      <c r="B315" s="458"/>
      <c r="C315" s="458"/>
      <c r="D315" s="458"/>
      <c r="E315" s="458"/>
      <c r="F315" s="458"/>
    </row>
    <row r="316" ht="15.75" customHeight="1">
      <c r="A316" s="458"/>
      <c r="B316" s="458"/>
      <c r="C316" s="458"/>
      <c r="D316" s="458"/>
      <c r="E316" s="458"/>
      <c r="F316" s="458"/>
    </row>
    <row r="317" ht="15.75" customHeight="1">
      <c r="A317" s="458"/>
      <c r="B317" s="458"/>
      <c r="C317" s="458"/>
      <c r="D317" s="458"/>
      <c r="E317" s="458"/>
      <c r="F317" s="458"/>
    </row>
    <row r="318" ht="15.75" customHeight="1">
      <c r="A318" s="458"/>
      <c r="B318" s="458"/>
      <c r="C318" s="458"/>
      <c r="D318" s="458"/>
      <c r="E318" s="458"/>
      <c r="F318" s="458"/>
    </row>
    <row r="319" ht="15.75" customHeight="1">
      <c r="A319" s="458"/>
      <c r="B319" s="458"/>
      <c r="C319" s="458"/>
      <c r="D319" s="458"/>
      <c r="E319" s="458"/>
      <c r="F319" s="458"/>
    </row>
    <row r="320" ht="15.75" customHeight="1">
      <c r="A320" s="458"/>
      <c r="B320" s="458"/>
      <c r="C320" s="458"/>
      <c r="D320" s="458"/>
      <c r="E320" s="458"/>
      <c r="F320" s="458"/>
    </row>
    <row r="321" ht="15.75" customHeight="1">
      <c r="A321" s="458"/>
      <c r="B321" s="458"/>
      <c r="C321" s="458"/>
      <c r="D321" s="458"/>
      <c r="E321" s="458"/>
      <c r="F321" s="458"/>
    </row>
    <row r="322" ht="15.75" customHeight="1">
      <c r="A322" s="458"/>
      <c r="B322" s="458"/>
      <c r="C322" s="458"/>
      <c r="D322" s="458"/>
      <c r="E322" s="458"/>
      <c r="F322" s="458"/>
    </row>
    <row r="323" ht="15.75" customHeight="1">
      <c r="A323" s="458"/>
      <c r="B323" s="458"/>
      <c r="C323" s="458"/>
      <c r="D323" s="458"/>
      <c r="E323" s="458"/>
      <c r="F323" s="458"/>
    </row>
    <row r="324" ht="15.75" customHeight="1">
      <c r="A324" s="458"/>
      <c r="B324" s="458"/>
      <c r="C324" s="458"/>
      <c r="D324" s="458"/>
      <c r="E324" s="458"/>
      <c r="F324" s="458"/>
    </row>
    <row r="325" ht="15.75" customHeight="1">
      <c r="A325" s="458"/>
      <c r="B325" s="458"/>
      <c r="C325" s="458"/>
      <c r="D325" s="458"/>
      <c r="E325" s="458"/>
      <c r="F325" s="458"/>
    </row>
    <row r="326" ht="15.75" customHeight="1">
      <c r="A326" s="458"/>
      <c r="B326" s="458"/>
      <c r="C326" s="458"/>
      <c r="D326" s="458"/>
      <c r="E326" s="458"/>
      <c r="F326" s="458"/>
    </row>
    <row r="327" ht="15.75" customHeight="1">
      <c r="A327" s="458"/>
      <c r="B327" s="458"/>
      <c r="C327" s="458"/>
      <c r="D327" s="458"/>
      <c r="E327" s="458"/>
      <c r="F327" s="458"/>
    </row>
    <row r="328" ht="15.75" customHeight="1">
      <c r="A328" s="458"/>
      <c r="B328" s="458"/>
      <c r="C328" s="458"/>
      <c r="D328" s="458"/>
      <c r="E328" s="458"/>
      <c r="F328" s="458"/>
    </row>
    <row r="329" ht="15.75" customHeight="1">
      <c r="A329" s="458"/>
      <c r="B329" s="458"/>
      <c r="C329" s="458"/>
      <c r="D329" s="458"/>
      <c r="E329" s="458"/>
      <c r="F329" s="458"/>
    </row>
    <row r="330" ht="15.75" customHeight="1">
      <c r="A330" s="458"/>
      <c r="B330" s="458"/>
      <c r="C330" s="458"/>
      <c r="D330" s="458"/>
      <c r="E330" s="458"/>
      <c r="F330" s="458"/>
    </row>
    <row r="331" ht="15.75" customHeight="1">
      <c r="A331" s="458"/>
      <c r="B331" s="458"/>
      <c r="C331" s="458"/>
      <c r="D331" s="458"/>
      <c r="E331" s="458"/>
      <c r="F331" s="458"/>
    </row>
    <row r="332" ht="15.75" customHeight="1">
      <c r="A332" s="458"/>
      <c r="B332" s="458"/>
      <c r="C332" s="458"/>
      <c r="D332" s="458"/>
      <c r="E332" s="458"/>
      <c r="F332" s="458"/>
    </row>
    <row r="333" ht="15.75" customHeight="1">
      <c r="A333" s="458"/>
      <c r="B333" s="458"/>
      <c r="C333" s="458"/>
      <c r="D333" s="458"/>
      <c r="E333" s="458"/>
      <c r="F333" s="458"/>
    </row>
    <row r="334" ht="15.75" customHeight="1">
      <c r="A334" s="458"/>
      <c r="B334" s="458"/>
      <c r="C334" s="458"/>
      <c r="D334" s="458"/>
      <c r="E334" s="458"/>
      <c r="F334" s="458"/>
    </row>
    <row r="335" ht="15.75" customHeight="1">
      <c r="A335" s="458"/>
      <c r="B335" s="458"/>
      <c r="C335" s="458"/>
      <c r="D335" s="458"/>
      <c r="E335" s="458"/>
      <c r="F335" s="458"/>
    </row>
    <row r="336" ht="15.75" customHeight="1">
      <c r="A336" s="458"/>
      <c r="B336" s="458"/>
      <c r="C336" s="458"/>
      <c r="D336" s="458"/>
      <c r="E336" s="458"/>
      <c r="F336" s="458"/>
    </row>
    <row r="337" ht="15.75" customHeight="1">
      <c r="A337" s="458"/>
      <c r="B337" s="458"/>
      <c r="C337" s="458"/>
      <c r="D337" s="458"/>
      <c r="E337" s="458"/>
      <c r="F337" s="458"/>
    </row>
    <row r="338" ht="15.75" customHeight="1">
      <c r="A338" s="458"/>
      <c r="B338" s="458"/>
      <c r="C338" s="458"/>
      <c r="D338" s="458"/>
      <c r="E338" s="458"/>
      <c r="F338" s="458"/>
    </row>
    <row r="339" ht="15.75" customHeight="1">
      <c r="A339" s="458"/>
      <c r="B339" s="458"/>
      <c r="C339" s="458"/>
      <c r="D339" s="458"/>
      <c r="E339" s="458"/>
      <c r="F339" s="458"/>
    </row>
    <row r="340" ht="15.75" customHeight="1">
      <c r="A340" s="458"/>
      <c r="B340" s="458"/>
      <c r="C340" s="458"/>
      <c r="D340" s="458"/>
      <c r="E340" s="458"/>
      <c r="F340" s="458"/>
    </row>
    <row r="341" ht="15.75" customHeight="1">
      <c r="A341" s="458"/>
      <c r="B341" s="458"/>
      <c r="C341" s="458"/>
      <c r="D341" s="458"/>
      <c r="E341" s="458"/>
      <c r="F341" s="458"/>
    </row>
    <row r="342" ht="15.75" customHeight="1">
      <c r="A342" s="458"/>
      <c r="B342" s="458"/>
      <c r="C342" s="458"/>
      <c r="D342" s="458"/>
      <c r="E342" s="458"/>
      <c r="F342" s="458"/>
    </row>
    <row r="343" ht="15.75" customHeight="1">
      <c r="A343" s="458"/>
      <c r="B343" s="458"/>
      <c r="C343" s="458"/>
      <c r="D343" s="458"/>
      <c r="E343" s="458"/>
      <c r="F343" s="458"/>
    </row>
    <row r="344" ht="15.75" customHeight="1">
      <c r="A344" s="458"/>
      <c r="B344" s="458"/>
      <c r="C344" s="458"/>
      <c r="D344" s="458"/>
      <c r="E344" s="458"/>
      <c r="F344" s="458"/>
    </row>
    <row r="345" ht="15.75" customHeight="1">
      <c r="A345" s="458"/>
      <c r="B345" s="458"/>
      <c r="C345" s="458"/>
      <c r="D345" s="458"/>
      <c r="E345" s="458"/>
      <c r="F345" s="458"/>
    </row>
    <row r="346" ht="15.75" customHeight="1">
      <c r="A346" s="458"/>
      <c r="B346" s="458"/>
      <c r="C346" s="458"/>
      <c r="D346" s="458"/>
      <c r="E346" s="458"/>
      <c r="F346" s="458"/>
    </row>
    <row r="347" ht="15.75" customHeight="1">
      <c r="A347" s="458"/>
      <c r="B347" s="458"/>
      <c r="C347" s="458"/>
      <c r="D347" s="458"/>
      <c r="E347" s="458"/>
      <c r="F347" s="458"/>
    </row>
    <row r="348" ht="15.75" customHeight="1">
      <c r="A348" s="458"/>
      <c r="B348" s="458"/>
      <c r="C348" s="458"/>
      <c r="D348" s="458"/>
      <c r="E348" s="458"/>
      <c r="F348" s="458"/>
    </row>
    <row r="349" ht="15.75" customHeight="1">
      <c r="A349" s="458"/>
      <c r="B349" s="458"/>
      <c r="C349" s="458"/>
      <c r="D349" s="458"/>
      <c r="E349" s="458"/>
      <c r="F349" s="458"/>
    </row>
    <row r="350" ht="15.75" customHeight="1">
      <c r="A350" s="458"/>
      <c r="B350" s="458"/>
      <c r="C350" s="458"/>
      <c r="D350" s="458"/>
      <c r="E350" s="458"/>
      <c r="F350" s="458"/>
    </row>
    <row r="351" ht="15.75" customHeight="1">
      <c r="A351" s="458"/>
      <c r="B351" s="458"/>
      <c r="C351" s="458"/>
      <c r="D351" s="458"/>
      <c r="E351" s="458"/>
      <c r="F351" s="458"/>
    </row>
    <row r="352" ht="15.75" customHeight="1">
      <c r="A352" s="458"/>
      <c r="B352" s="458"/>
      <c r="C352" s="458"/>
      <c r="D352" s="458"/>
      <c r="E352" s="458"/>
      <c r="F352" s="458"/>
    </row>
    <row r="353" ht="15.75" customHeight="1">
      <c r="A353" s="458"/>
      <c r="B353" s="458"/>
      <c r="C353" s="458"/>
      <c r="D353" s="458"/>
      <c r="E353" s="458"/>
      <c r="F353" s="458"/>
    </row>
    <row r="354" ht="15.75" customHeight="1">
      <c r="A354" s="458"/>
      <c r="B354" s="458"/>
      <c r="C354" s="458"/>
      <c r="D354" s="458"/>
      <c r="E354" s="458"/>
      <c r="F354" s="458"/>
    </row>
    <row r="355" ht="15.75" customHeight="1">
      <c r="A355" s="458"/>
      <c r="B355" s="458"/>
      <c r="C355" s="458"/>
      <c r="D355" s="458"/>
      <c r="E355" s="458"/>
      <c r="F355" s="458"/>
    </row>
    <row r="356" ht="15.75" customHeight="1">
      <c r="A356" s="458"/>
      <c r="B356" s="458"/>
      <c r="C356" s="458"/>
      <c r="D356" s="458"/>
      <c r="E356" s="458"/>
      <c r="F356" s="458"/>
    </row>
    <row r="357" ht="15.75" customHeight="1">
      <c r="A357" s="458"/>
      <c r="B357" s="458"/>
      <c r="C357" s="458"/>
      <c r="D357" s="458"/>
      <c r="E357" s="458"/>
      <c r="F357" s="458"/>
    </row>
    <row r="358" ht="15.75" customHeight="1">
      <c r="A358" s="458"/>
      <c r="B358" s="458"/>
      <c r="C358" s="458"/>
      <c r="D358" s="458"/>
      <c r="E358" s="458"/>
      <c r="F358" s="458"/>
    </row>
    <row r="359" ht="15.75" customHeight="1">
      <c r="A359" s="458"/>
      <c r="B359" s="458"/>
      <c r="C359" s="458"/>
      <c r="D359" s="458"/>
      <c r="E359" s="458"/>
      <c r="F359" s="458"/>
    </row>
    <row r="360" ht="15.75" customHeight="1">
      <c r="A360" s="458"/>
      <c r="B360" s="458"/>
      <c r="C360" s="458"/>
      <c r="D360" s="458"/>
      <c r="E360" s="458"/>
      <c r="F360" s="458"/>
    </row>
    <row r="361" ht="15.75" customHeight="1">
      <c r="A361" s="458"/>
      <c r="B361" s="458"/>
      <c r="C361" s="458"/>
      <c r="D361" s="458"/>
      <c r="E361" s="458"/>
      <c r="F361" s="458"/>
    </row>
    <row r="362" ht="15.75" customHeight="1">
      <c r="A362" s="458"/>
      <c r="B362" s="458"/>
      <c r="C362" s="458"/>
      <c r="D362" s="458"/>
      <c r="E362" s="458"/>
      <c r="F362" s="458"/>
    </row>
    <row r="363" ht="15.75" customHeight="1">
      <c r="A363" s="458"/>
      <c r="B363" s="458"/>
      <c r="C363" s="458"/>
      <c r="D363" s="458"/>
      <c r="E363" s="458"/>
      <c r="F363" s="458"/>
    </row>
    <row r="364" ht="15.75" customHeight="1">
      <c r="A364" s="458"/>
      <c r="B364" s="458"/>
      <c r="C364" s="458"/>
      <c r="D364" s="458"/>
      <c r="E364" s="458"/>
      <c r="F364" s="458"/>
    </row>
    <row r="365" ht="15.75" customHeight="1">
      <c r="A365" s="458"/>
      <c r="B365" s="458"/>
      <c r="C365" s="458"/>
      <c r="D365" s="458"/>
      <c r="E365" s="458"/>
      <c r="F365" s="458"/>
    </row>
    <row r="366" ht="15.75" customHeight="1">
      <c r="A366" s="458"/>
      <c r="B366" s="458"/>
      <c r="C366" s="458"/>
      <c r="D366" s="458"/>
      <c r="E366" s="458"/>
      <c r="F366" s="458"/>
    </row>
    <row r="367" ht="15.75" customHeight="1">
      <c r="A367" s="458"/>
      <c r="B367" s="458"/>
      <c r="C367" s="458"/>
      <c r="D367" s="458"/>
      <c r="E367" s="458"/>
      <c r="F367" s="458"/>
    </row>
    <row r="368" ht="15.75" customHeight="1">
      <c r="A368" s="458"/>
      <c r="B368" s="458"/>
      <c r="C368" s="458"/>
      <c r="D368" s="458"/>
      <c r="E368" s="458"/>
      <c r="F368" s="458"/>
    </row>
    <row r="369" ht="15.75" customHeight="1">
      <c r="A369" s="458"/>
      <c r="B369" s="458"/>
      <c r="C369" s="458"/>
      <c r="D369" s="458"/>
      <c r="E369" s="458"/>
      <c r="F369" s="458"/>
    </row>
    <row r="370" ht="15.75" customHeight="1">
      <c r="A370" s="458"/>
      <c r="B370" s="458"/>
      <c r="C370" s="458"/>
      <c r="D370" s="458"/>
      <c r="E370" s="458"/>
      <c r="F370" s="458"/>
    </row>
    <row r="371" ht="15.75" customHeight="1">
      <c r="A371" s="458"/>
      <c r="B371" s="458"/>
      <c r="C371" s="458"/>
      <c r="D371" s="458"/>
      <c r="E371" s="458"/>
      <c r="F371" s="458"/>
    </row>
    <row r="372" ht="15.75" customHeight="1">
      <c r="A372" s="458"/>
      <c r="B372" s="458"/>
      <c r="C372" s="458"/>
      <c r="D372" s="458"/>
      <c r="E372" s="458"/>
      <c r="F372" s="458"/>
    </row>
    <row r="373" ht="15.75" customHeight="1">
      <c r="A373" s="458"/>
      <c r="B373" s="458"/>
      <c r="C373" s="458"/>
      <c r="D373" s="458"/>
      <c r="E373" s="458"/>
      <c r="F373" s="458"/>
    </row>
    <row r="374" ht="15.75" customHeight="1">
      <c r="A374" s="458"/>
      <c r="B374" s="458"/>
      <c r="C374" s="458"/>
      <c r="D374" s="458"/>
      <c r="E374" s="458"/>
      <c r="F374" s="458"/>
    </row>
    <row r="375" ht="15.75" customHeight="1">
      <c r="A375" s="458"/>
      <c r="B375" s="458"/>
      <c r="C375" s="458"/>
      <c r="D375" s="458"/>
      <c r="E375" s="458"/>
      <c r="F375" s="458"/>
    </row>
    <row r="376" ht="15.75" customHeight="1">
      <c r="A376" s="458"/>
      <c r="B376" s="458"/>
      <c r="C376" s="458"/>
      <c r="D376" s="458"/>
      <c r="E376" s="458"/>
      <c r="F376" s="458"/>
    </row>
    <row r="377" ht="15.75" customHeight="1">
      <c r="A377" s="458"/>
      <c r="B377" s="458"/>
      <c r="C377" s="458"/>
      <c r="D377" s="458"/>
      <c r="E377" s="458"/>
      <c r="F377" s="458"/>
    </row>
    <row r="378" ht="15.75" customHeight="1">
      <c r="A378" s="458"/>
      <c r="B378" s="458"/>
      <c r="C378" s="458"/>
      <c r="D378" s="458"/>
      <c r="E378" s="458"/>
      <c r="F378" s="458"/>
    </row>
    <row r="379" ht="15.75" customHeight="1">
      <c r="A379" s="458"/>
      <c r="B379" s="458"/>
      <c r="C379" s="458"/>
      <c r="D379" s="458"/>
      <c r="E379" s="458"/>
      <c r="F379" s="458"/>
    </row>
    <row r="380" ht="15.75" customHeight="1">
      <c r="A380" s="458"/>
      <c r="B380" s="458"/>
      <c r="C380" s="458"/>
      <c r="D380" s="458"/>
      <c r="E380" s="458"/>
      <c r="F380" s="458"/>
    </row>
    <row r="381" ht="15.75" customHeight="1">
      <c r="A381" s="458"/>
      <c r="B381" s="458"/>
      <c r="C381" s="458"/>
      <c r="D381" s="458"/>
      <c r="E381" s="458"/>
      <c r="F381" s="458"/>
    </row>
    <row r="382" ht="15.75" customHeight="1">
      <c r="A382" s="458"/>
      <c r="B382" s="458"/>
      <c r="C382" s="458"/>
      <c r="D382" s="458"/>
      <c r="E382" s="458"/>
      <c r="F382" s="458"/>
    </row>
    <row r="383" ht="15.75" customHeight="1">
      <c r="A383" s="458"/>
      <c r="B383" s="458"/>
      <c r="C383" s="458"/>
      <c r="D383" s="458"/>
      <c r="E383" s="458"/>
      <c r="F383" s="458"/>
    </row>
    <row r="384" ht="15.75" customHeight="1">
      <c r="A384" s="458"/>
      <c r="B384" s="458"/>
      <c r="C384" s="458"/>
      <c r="D384" s="458"/>
      <c r="E384" s="458"/>
      <c r="F384" s="458"/>
    </row>
    <row r="385" ht="15.75" customHeight="1">
      <c r="A385" s="458"/>
      <c r="B385" s="458"/>
      <c r="C385" s="458"/>
      <c r="D385" s="458"/>
      <c r="E385" s="458"/>
      <c r="F385" s="458"/>
    </row>
    <row r="386" ht="15.75" customHeight="1">
      <c r="A386" s="458"/>
      <c r="B386" s="458"/>
      <c r="C386" s="458"/>
      <c r="D386" s="458"/>
      <c r="E386" s="458"/>
      <c r="F386" s="458"/>
    </row>
    <row r="387" ht="15.75" customHeight="1">
      <c r="A387" s="458"/>
      <c r="B387" s="458"/>
      <c r="C387" s="458"/>
      <c r="D387" s="458"/>
      <c r="E387" s="458"/>
      <c r="F387" s="458"/>
    </row>
    <row r="388" ht="15.75" customHeight="1">
      <c r="A388" s="458"/>
      <c r="B388" s="458"/>
      <c r="C388" s="458"/>
      <c r="D388" s="458"/>
      <c r="E388" s="458"/>
      <c r="F388" s="458"/>
    </row>
    <row r="389" ht="15.75" customHeight="1">
      <c r="A389" s="458"/>
      <c r="B389" s="458"/>
      <c r="C389" s="458"/>
      <c r="D389" s="458"/>
      <c r="E389" s="458"/>
      <c r="F389" s="458"/>
    </row>
    <row r="390" ht="15.75" customHeight="1">
      <c r="A390" s="458"/>
      <c r="B390" s="458"/>
      <c r="C390" s="458"/>
      <c r="D390" s="458"/>
      <c r="E390" s="458"/>
      <c r="F390" s="458"/>
    </row>
    <row r="391" ht="15.75" customHeight="1">
      <c r="A391" s="458"/>
      <c r="B391" s="458"/>
      <c r="C391" s="458"/>
      <c r="D391" s="458"/>
      <c r="E391" s="458"/>
      <c r="F391" s="458"/>
    </row>
    <row r="392" ht="15.75" customHeight="1">
      <c r="A392" s="458"/>
      <c r="B392" s="458"/>
      <c r="C392" s="458"/>
      <c r="D392" s="458"/>
      <c r="E392" s="458"/>
      <c r="F392" s="458"/>
    </row>
    <row r="393" ht="15.75" customHeight="1">
      <c r="A393" s="458"/>
      <c r="B393" s="458"/>
      <c r="C393" s="458"/>
      <c r="D393" s="458"/>
      <c r="E393" s="458"/>
      <c r="F393" s="458"/>
    </row>
    <row r="394" ht="15.75" customHeight="1">
      <c r="A394" s="458"/>
      <c r="B394" s="458"/>
      <c r="C394" s="458"/>
      <c r="D394" s="458"/>
      <c r="E394" s="458"/>
      <c r="F394" s="458"/>
    </row>
    <row r="395" ht="15.75" customHeight="1">
      <c r="A395" s="458"/>
      <c r="B395" s="458"/>
      <c r="C395" s="458"/>
      <c r="D395" s="458"/>
      <c r="E395" s="458"/>
      <c r="F395" s="458"/>
    </row>
    <row r="396" ht="15.75" customHeight="1">
      <c r="A396" s="458"/>
      <c r="B396" s="458"/>
      <c r="C396" s="458"/>
      <c r="D396" s="458"/>
      <c r="E396" s="458"/>
      <c r="F396" s="458"/>
    </row>
    <row r="397" ht="15.75" customHeight="1">
      <c r="A397" s="458"/>
      <c r="B397" s="458"/>
      <c r="C397" s="458"/>
      <c r="D397" s="458"/>
      <c r="E397" s="458"/>
      <c r="F397" s="458"/>
    </row>
    <row r="398" ht="15.75" customHeight="1">
      <c r="A398" s="458"/>
      <c r="B398" s="458"/>
      <c r="C398" s="458"/>
      <c r="D398" s="458"/>
      <c r="E398" s="458"/>
      <c r="F398" s="458"/>
    </row>
    <row r="399" ht="15.75" customHeight="1">
      <c r="A399" s="458"/>
      <c r="B399" s="458"/>
      <c r="C399" s="458"/>
      <c r="D399" s="458"/>
      <c r="E399" s="458"/>
      <c r="F399" s="458"/>
    </row>
    <row r="400" ht="15.75" customHeight="1">
      <c r="A400" s="458"/>
      <c r="B400" s="458"/>
      <c r="C400" s="458"/>
      <c r="D400" s="458"/>
      <c r="E400" s="458"/>
      <c r="F400" s="458"/>
    </row>
    <row r="401" ht="15.75" customHeight="1">
      <c r="A401" s="458"/>
      <c r="B401" s="458"/>
      <c r="C401" s="458"/>
      <c r="D401" s="458"/>
      <c r="E401" s="458"/>
      <c r="F401" s="458"/>
    </row>
    <row r="402" ht="15.75" customHeight="1">
      <c r="A402" s="458"/>
      <c r="B402" s="458"/>
      <c r="C402" s="458"/>
      <c r="D402" s="458"/>
      <c r="E402" s="458"/>
      <c r="F402" s="458"/>
    </row>
    <row r="403" ht="15.75" customHeight="1">
      <c r="A403" s="458"/>
      <c r="B403" s="458"/>
      <c r="C403" s="458"/>
      <c r="D403" s="458"/>
      <c r="E403" s="458"/>
      <c r="F403" s="458"/>
    </row>
    <row r="404" ht="15.75" customHeight="1">
      <c r="A404" s="458"/>
      <c r="B404" s="458"/>
      <c r="C404" s="458"/>
      <c r="D404" s="458"/>
      <c r="E404" s="458"/>
      <c r="F404" s="458"/>
    </row>
    <row r="405" ht="15.75" customHeight="1">
      <c r="A405" s="458"/>
      <c r="B405" s="458"/>
      <c r="C405" s="458"/>
      <c r="D405" s="458"/>
      <c r="E405" s="458"/>
      <c r="F405" s="458"/>
    </row>
    <row r="406" ht="15.75" customHeight="1">
      <c r="A406" s="458"/>
      <c r="B406" s="458"/>
      <c r="C406" s="458"/>
      <c r="D406" s="458"/>
      <c r="E406" s="458"/>
      <c r="F406" s="458"/>
    </row>
    <row r="407" ht="15.75" customHeight="1">
      <c r="A407" s="458"/>
      <c r="B407" s="458"/>
      <c r="C407" s="458"/>
      <c r="D407" s="458"/>
      <c r="E407" s="458"/>
      <c r="F407" s="458"/>
    </row>
    <row r="408" ht="15.75" customHeight="1">
      <c r="A408" s="458"/>
      <c r="B408" s="458"/>
      <c r="C408" s="458"/>
      <c r="D408" s="458"/>
      <c r="E408" s="458"/>
      <c r="F408" s="458"/>
    </row>
    <row r="409" ht="15.75" customHeight="1">
      <c r="A409" s="458"/>
      <c r="B409" s="458"/>
      <c r="C409" s="458"/>
      <c r="D409" s="458"/>
      <c r="E409" s="458"/>
      <c r="F409" s="458"/>
    </row>
    <row r="410" ht="15.75" customHeight="1">
      <c r="A410" s="458"/>
      <c r="B410" s="458"/>
      <c r="C410" s="458"/>
      <c r="D410" s="458"/>
      <c r="E410" s="458"/>
      <c r="F410" s="458"/>
    </row>
    <row r="411" ht="15.75" customHeight="1">
      <c r="A411" s="458"/>
      <c r="B411" s="458"/>
      <c r="C411" s="458"/>
      <c r="D411" s="458"/>
      <c r="E411" s="458"/>
      <c r="F411" s="458"/>
    </row>
    <row r="412" ht="15.75" customHeight="1">
      <c r="A412" s="458"/>
      <c r="B412" s="458"/>
      <c r="C412" s="458"/>
      <c r="D412" s="458"/>
      <c r="E412" s="458"/>
      <c r="F412" s="458"/>
    </row>
    <row r="413" ht="15.75" customHeight="1">
      <c r="A413" s="458"/>
      <c r="B413" s="458"/>
      <c r="C413" s="458"/>
      <c r="D413" s="458"/>
      <c r="E413" s="458"/>
      <c r="F413" s="458"/>
    </row>
    <row r="414" ht="15.75" customHeight="1">
      <c r="A414" s="458"/>
      <c r="B414" s="458"/>
      <c r="C414" s="458"/>
      <c r="D414" s="458"/>
      <c r="E414" s="458"/>
      <c r="F414" s="458"/>
    </row>
    <row r="415" ht="15.75" customHeight="1">
      <c r="A415" s="458"/>
      <c r="B415" s="458"/>
      <c r="C415" s="458"/>
      <c r="D415" s="458"/>
      <c r="E415" s="458"/>
      <c r="F415" s="458"/>
    </row>
    <row r="416" ht="15.75" customHeight="1">
      <c r="A416" s="458"/>
      <c r="B416" s="458"/>
      <c r="C416" s="458"/>
      <c r="D416" s="458"/>
      <c r="E416" s="458"/>
      <c r="F416" s="458"/>
    </row>
    <row r="417" ht="15.75" customHeight="1">
      <c r="A417" s="458"/>
      <c r="B417" s="458"/>
      <c r="C417" s="458"/>
      <c r="D417" s="458"/>
      <c r="E417" s="458"/>
      <c r="F417" s="458"/>
    </row>
    <row r="418" ht="15.75" customHeight="1">
      <c r="A418" s="458"/>
      <c r="B418" s="458"/>
      <c r="C418" s="458"/>
      <c r="D418" s="458"/>
      <c r="E418" s="458"/>
      <c r="F418" s="458"/>
    </row>
    <row r="419" ht="15.75" customHeight="1">
      <c r="A419" s="458"/>
      <c r="B419" s="458"/>
      <c r="C419" s="458"/>
      <c r="D419" s="458"/>
      <c r="E419" s="458"/>
      <c r="F419" s="458"/>
    </row>
    <row r="420" ht="15.75" customHeight="1">
      <c r="A420" s="458"/>
      <c r="B420" s="458"/>
      <c r="C420" s="458"/>
      <c r="D420" s="458"/>
      <c r="E420" s="458"/>
      <c r="F420" s="458"/>
    </row>
    <row r="421" ht="15.75" customHeight="1">
      <c r="A421" s="458"/>
      <c r="B421" s="458"/>
      <c r="C421" s="458"/>
      <c r="D421" s="458"/>
      <c r="E421" s="458"/>
      <c r="F421" s="458"/>
    </row>
    <row r="422" ht="15.75" customHeight="1">
      <c r="A422" s="458"/>
      <c r="B422" s="458"/>
      <c r="C422" s="458"/>
      <c r="D422" s="458"/>
      <c r="E422" s="458"/>
      <c r="F422" s="458"/>
    </row>
    <row r="423" ht="15.75" customHeight="1">
      <c r="A423" s="458"/>
      <c r="B423" s="458"/>
      <c r="C423" s="458"/>
      <c r="D423" s="458"/>
      <c r="E423" s="458"/>
      <c r="F423" s="458"/>
    </row>
    <row r="424" ht="15.75" customHeight="1">
      <c r="A424" s="458"/>
      <c r="B424" s="458"/>
      <c r="C424" s="458"/>
      <c r="D424" s="458"/>
      <c r="E424" s="458"/>
      <c r="F424" s="458"/>
    </row>
    <row r="425" ht="15.75" customHeight="1">
      <c r="A425" s="458"/>
      <c r="B425" s="458"/>
      <c r="C425" s="458"/>
      <c r="D425" s="458"/>
      <c r="E425" s="458"/>
      <c r="F425" s="458"/>
    </row>
    <row r="426" ht="15.75" customHeight="1">
      <c r="A426" s="458"/>
      <c r="B426" s="458"/>
      <c r="C426" s="458"/>
      <c r="D426" s="458"/>
      <c r="E426" s="458"/>
      <c r="F426" s="458"/>
    </row>
    <row r="427" ht="15.75" customHeight="1">
      <c r="A427" s="458"/>
      <c r="B427" s="458"/>
      <c r="C427" s="458"/>
      <c r="D427" s="458"/>
      <c r="E427" s="458"/>
      <c r="F427" s="458"/>
    </row>
    <row r="428" ht="15.75" customHeight="1">
      <c r="A428" s="458"/>
      <c r="B428" s="458"/>
      <c r="C428" s="458"/>
      <c r="D428" s="458"/>
      <c r="E428" s="458"/>
      <c r="F428" s="458"/>
    </row>
    <row r="429" ht="15.75" customHeight="1">
      <c r="A429" s="458"/>
      <c r="B429" s="458"/>
      <c r="C429" s="458"/>
      <c r="D429" s="458"/>
      <c r="E429" s="458"/>
      <c r="F429" s="458"/>
    </row>
    <row r="430" ht="15.75" customHeight="1">
      <c r="A430" s="458"/>
      <c r="B430" s="458"/>
      <c r="C430" s="458"/>
      <c r="D430" s="458"/>
      <c r="E430" s="458"/>
      <c r="F430" s="458"/>
    </row>
    <row r="431" ht="15.75" customHeight="1">
      <c r="A431" s="458"/>
      <c r="B431" s="458"/>
      <c r="C431" s="458"/>
      <c r="D431" s="458"/>
      <c r="E431" s="458"/>
      <c r="F431" s="458"/>
    </row>
    <row r="432" ht="15.75" customHeight="1">
      <c r="A432" s="458"/>
      <c r="B432" s="458"/>
      <c r="C432" s="458"/>
      <c r="D432" s="458"/>
      <c r="E432" s="458"/>
      <c r="F432" s="458"/>
    </row>
    <row r="433" ht="15.75" customHeight="1">
      <c r="A433" s="458"/>
      <c r="B433" s="458"/>
      <c r="C433" s="458"/>
      <c r="D433" s="458"/>
      <c r="E433" s="458"/>
      <c r="F433" s="458"/>
    </row>
    <row r="434" ht="15.75" customHeight="1">
      <c r="A434" s="458"/>
      <c r="B434" s="458"/>
      <c r="C434" s="458"/>
      <c r="D434" s="458"/>
      <c r="E434" s="458"/>
      <c r="F434" s="458"/>
    </row>
    <row r="435" ht="15.75" customHeight="1">
      <c r="A435" s="458"/>
      <c r="B435" s="458"/>
      <c r="C435" s="458"/>
      <c r="D435" s="458"/>
      <c r="E435" s="458"/>
      <c r="F435" s="458"/>
    </row>
    <row r="436" ht="15.75" customHeight="1">
      <c r="A436" s="458"/>
      <c r="B436" s="458"/>
      <c r="C436" s="458"/>
      <c r="D436" s="458"/>
      <c r="E436" s="458"/>
      <c r="F436" s="458"/>
    </row>
    <row r="437" ht="15.75" customHeight="1">
      <c r="A437" s="458"/>
      <c r="B437" s="458"/>
      <c r="C437" s="458"/>
      <c r="D437" s="458"/>
      <c r="E437" s="458"/>
      <c r="F437" s="458"/>
    </row>
    <row r="438" ht="15.75" customHeight="1">
      <c r="A438" s="458"/>
      <c r="B438" s="458"/>
      <c r="C438" s="458"/>
      <c r="D438" s="458"/>
      <c r="E438" s="458"/>
      <c r="F438" s="458"/>
    </row>
    <row r="439" ht="15.75" customHeight="1">
      <c r="A439" s="458"/>
      <c r="B439" s="458"/>
      <c r="C439" s="458"/>
      <c r="D439" s="458"/>
      <c r="E439" s="458"/>
      <c r="F439" s="458"/>
    </row>
    <row r="440" ht="15.75" customHeight="1">
      <c r="A440" s="458"/>
      <c r="B440" s="458"/>
      <c r="C440" s="458"/>
      <c r="D440" s="458"/>
      <c r="E440" s="458"/>
      <c r="F440" s="458"/>
    </row>
    <row r="441" ht="15.75" customHeight="1">
      <c r="A441" s="458"/>
      <c r="B441" s="458"/>
      <c r="C441" s="458"/>
      <c r="D441" s="458"/>
      <c r="E441" s="458"/>
      <c r="F441" s="458"/>
    </row>
    <row r="442" ht="15.75" customHeight="1">
      <c r="A442" s="458"/>
      <c r="B442" s="458"/>
      <c r="C442" s="458"/>
      <c r="D442" s="458"/>
      <c r="E442" s="458"/>
      <c r="F442" s="458"/>
    </row>
    <row r="443" ht="15.75" customHeight="1">
      <c r="A443" s="458"/>
      <c r="B443" s="458"/>
      <c r="C443" s="458"/>
      <c r="D443" s="458"/>
      <c r="E443" s="458"/>
      <c r="F443" s="458"/>
    </row>
    <row r="444" ht="15.75" customHeight="1">
      <c r="A444" s="458"/>
      <c r="B444" s="458"/>
      <c r="C444" s="458"/>
      <c r="D444" s="458"/>
      <c r="E444" s="458"/>
      <c r="F444" s="458"/>
    </row>
    <row r="445" ht="15.75" customHeight="1">
      <c r="A445" s="458"/>
      <c r="B445" s="458"/>
      <c r="C445" s="458"/>
      <c r="D445" s="458"/>
      <c r="E445" s="458"/>
      <c r="F445" s="458"/>
    </row>
    <row r="446" ht="15.75" customHeight="1">
      <c r="A446" s="458"/>
      <c r="B446" s="458"/>
      <c r="C446" s="458"/>
      <c r="D446" s="458"/>
      <c r="E446" s="458"/>
      <c r="F446" s="458"/>
    </row>
    <row r="447" ht="15.75" customHeight="1">
      <c r="A447" s="458"/>
      <c r="B447" s="458"/>
      <c r="C447" s="458"/>
      <c r="D447" s="458"/>
      <c r="E447" s="458"/>
      <c r="F447" s="458"/>
    </row>
    <row r="448" ht="15.75" customHeight="1">
      <c r="A448" s="458"/>
      <c r="B448" s="458"/>
      <c r="C448" s="458"/>
      <c r="D448" s="458"/>
      <c r="E448" s="458"/>
      <c r="F448" s="458"/>
    </row>
    <row r="449" ht="15.75" customHeight="1">
      <c r="A449" s="458"/>
      <c r="B449" s="458"/>
      <c r="C449" s="458"/>
      <c r="D449" s="458"/>
      <c r="E449" s="458"/>
      <c r="F449" s="458"/>
    </row>
    <row r="450" ht="15.75" customHeight="1">
      <c r="A450" s="458"/>
      <c r="B450" s="458"/>
      <c r="C450" s="458"/>
      <c r="D450" s="458"/>
      <c r="E450" s="458"/>
      <c r="F450" s="458"/>
    </row>
    <row r="451" ht="15.75" customHeight="1">
      <c r="A451" s="458"/>
      <c r="B451" s="458"/>
      <c r="C451" s="458"/>
      <c r="D451" s="458"/>
      <c r="E451" s="458"/>
      <c r="F451" s="458"/>
    </row>
    <row r="452" ht="15.75" customHeight="1">
      <c r="A452" s="458"/>
      <c r="B452" s="458"/>
      <c r="C452" s="458"/>
      <c r="D452" s="458"/>
      <c r="E452" s="458"/>
      <c r="F452" s="458"/>
    </row>
    <row r="453" ht="15.75" customHeight="1">
      <c r="A453" s="458"/>
      <c r="B453" s="458"/>
      <c r="C453" s="458"/>
      <c r="D453" s="458"/>
      <c r="E453" s="458"/>
      <c r="F453" s="458"/>
    </row>
    <row r="454" ht="15.75" customHeight="1">
      <c r="A454" s="458"/>
      <c r="B454" s="458"/>
      <c r="C454" s="458"/>
      <c r="D454" s="458"/>
      <c r="E454" s="458"/>
      <c r="F454" s="458"/>
    </row>
    <row r="455" ht="15.75" customHeight="1">
      <c r="A455" s="458"/>
      <c r="B455" s="458"/>
      <c r="C455" s="458"/>
      <c r="D455" s="458"/>
      <c r="E455" s="458"/>
      <c r="F455" s="458"/>
    </row>
    <row r="456" ht="15.75" customHeight="1">
      <c r="A456" s="458"/>
      <c r="B456" s="458"/>
      <c r="C456" s="458"/>
      <c r="D456" s="458"/>
      <c r="E456" s="458"/>
      <c r="F456" s="458"/>
    </row>
    <row r="457" ht="15.75" customHeight="1">
      <c r="A457" s="458"/>
      <c r="B457" s="458"/>
      <c r="C457" s="458"/>
      <c r="D457" s="458"/>
      <c r="E457" s="458"/>
      <c r="F457" s="458"/>
    </row>
    <row r="458" ht="15.75" customHeight="1">
      <c r="A458" s="458"/>
      <c r="B458" s="458"/>
      <c r="C458" s="458"/>
      <c r="D458" s="458"/>
      <c r="E458" s="458"/>
      <c r="F458" s="458"/>
    </row>
    <row r="459" ht="15.75" customHeight="1">
      <c r="A459" s="458"/>
      <c r="B459" s="458"/>
      <c r="C459" s="458"/>
      <c r="D459" s="458"/>
      <c r="E459" s="458"/>
      <c r="F459" s="458"/>
    </row>
    <row r="460" ht="15.75" customHeight="1">
      <c r="A460" s="458"/>
      <c r="B460" s="458"/>
      <c r="C460" s="458"/>
      <c r="D460" s="458"/>
      <c r="E460" s="458"/>
      <c r="F460" s="458"/>
    </row>
    <row r="461" ht="15.75" customHeight="1">
      <c r="A461" s="458"/>
      <c r="B461" s="458"/>
      <c r="C461" s="458"/>
      <c r="D461" s="458"/>
      <c r="E461" s="458"/>
      <c r="F461" s="458"/>
    </row>
    <row r="462" ht="15.75" customHeight="1">
      <c r="A462" s="458"/>
      <c r="B462" s="458"/>
      <c r="C462" s="458"/>
      <c r="D462" s="458"/>
      <c r="E462" s="458"/>
      <c r="F462" s="458"/>
    </row>
    <row r="463" ht="15.75" customHeight="1">
      <c r="A463" s="458"/>
      <c r="B463" s="458"/>
      <c r="C463" s="458"/>
      <c r="D463" s="458"/>
      <c r="E463" s="458"/>
      <c r="F463" s="458"/>
    </row>
    <row r="464" ht="15.75" customHeight="1">
      <c r="A464" s="458"/>
      <c r="B464" s="458"/>
      <c r="C464" s="458"/>
      <c r="D464" s="458"/>
      <c r="E464" s="458"/>
      <c r="F464" s="458"/>
    </row>
    <row r="465" ht="15.75" customHeight="1">
      <c r="A465" s="458"/>
      <c r="B465" s="458"/>
      <c r="C465" s="458"/>
      <c r="D465" s="458"/>
      <c r="E465" s="458"/>
      <c r="F465" s="458"/>
    </row>
    <row r="466" ht="15.75" customHeight="1">
      <c r="A466" s="458"/>
      <c r="B466" s="458"/>
      <c r="C466" s="458"/>
      <c r="D466" s="458"/>
      <c r="E466" s="458"/>
      <c r="F466" s="458"/>
    </row>
    <row r="467" ht="15.75" customHeight="1">
      <c r="A467" s="458"/>
      <c r="B467" s="458"/>
      <c r="C467" s="458"/>
      <c r="D467" s="458"/>
      <c r="E467" s="458"/>
      <c r="F467" s="458"/>
    </row>
    <row r="468" ht="15.75" customHeight="1">
      <c r="A468" s="458"/>
      <c r="B468" s="458"/>
      <c r="C468" s="458"/>
      <c r="D468" s="458"/>
      <c r="E468" s="458"/>
      <c r="F468" s="458"/>
    </row>
    <row r="469" ht="15.75" customHeight="1">
      <c r="A469" s="458"/>
      <c r="B469" s="458"/>
      <c r="C469" s="458"/>
      <c r="D469" s="458"/>
      <c r="E469" s="458"/>
      <c r="F469" s="458"/>
    </row>
    <row r="470" ht="15.75" customHeight="1">
      <c r="A470" s="458"/>
      <c r="B470" s="458"/>
      <c r="C470" s="458"/>
      <c r="D470" s="458"/>
      <c r="E470" s="458"/>
      <c r="F470" s="458"/>
    </row>
    <row r="471" ht="15.75" customHeight="1">
      <c r="A471" s="458"/>
      <c r="B471" s="458"/>
      <c r="C471" s="458"/>
      <c r="D471" s="458"/>
      <c r="E471" s="458"/>
      <c r="F471" s="458"/>
    </row>
    <row r="472" ht="15.75" customHeight="1">
      <c r="A472" s="458"/>
      <c r="B472" s="458"/>
      <c r="C472" s="458"/>
      <c r="D472" s="458"/>
      <c r="E472" s="458"/>
      <c r="F472" s="458"/>
    </row>
    <row r="473" ht="15.75" customHeight="1">
      <c r="A473" s="458"/>
      <c r="B473" s="458"/>
      <c r="C473" s="458"/>
      <c r="D473" s="458"/>
      <c r="E473" s="458"/>
      <c r="F473" s="458"/>
    </row>
    <row r="474" ht="15.75" customHeight="1">
      <c r="A474" s="458"/>
      <c r="B474" s="458"/>
      <c r="C474" s="458"/>
      <c r="D474" s="458"/>
      <c r="E474" s="458"/>
      <c r="F474" s="458"/>
    </row>
    <row r="475" ht="15.75" customHeight="1">
      <c r="A475" s="458"/>
      <c r="B475" s="458"/>
      <c r="C475" s="458"/>
      <c r="D475" s="458"/>
      <c r="E475" s="458"/>
      <c r="F475" s="458"/>
    </row>
    <row r="476" ht="15.75" customHeight="1">
      <c r="A476" s="458"/>
      <c r="B476" s="458"/>
      <c r="C476" s="458"/>
      <c r="D476" s="458"/>
      <c r="E476" s="458"/>
      <c r="F476" s="458"/>
    </row>
    <row r="477" ht="15.75" customHeight="1">
      <c r="A477" s="458"/>
      <c r="B477" s="458"/>
      <c r="C477" s="458"/>
      <c r="D477" s="458"/>
      <c r="E477" s="458"/>
      <c r="F477" s="458"/>
    </row>
    <row r="478" ht="15.75" customHeight="1">
      <c r="A478" s="458"/>
      <c r="B478" s="458"/>
      <c r="C478" s="458"/>
      <c r="D478" s="458"/>
      <c r="E478" s="458"/>
      <c r="F478" s="458"/>
    </row>
    <row r="479" ht="15.75" customHeight="1">
      <c r="A479" s="458"/>
      <c r="B479" s="458"/>
      <c r="C479" s="458"/>
      <c r="D479" s="458"/>
      <c r="E479" s="458"/>
      <c r="F479" s="458"/>
    </row>
    <row r="480" ht="15.75" customHeight="1">
      <c r="A480" s="458"/>
      <c r="B480" s="458"/>
      <c r="C480" s="458"/>
      <c r="D480" s="458"/>
      <c r="E480" s="458"/>
      <c r="F480" s="458"/>
    </row>
    <row r="481" ht="15.75" customHeight="1">
      <c r="A481" s="458"/>
      <c r="B481" s="458"/>
      <c r="C481" s="458"/>
      <c r="D481" s="458"/>
      <c r="E481" s="458"/>
      <c r="F481" s="458"/>
    </row>
    <row r="482" ht="15.75" customHeight="1">
      <c r="A482" s="458"/>
      <c r="B482" s="458"/>
      <c r="C482" s="458"/>
      <c r="D482" s="458"/>
      <c r="E482" s="458"/>
      <c r="F482" s="458"/>
    </row>
    <row r="483" ht="15.75" customHeight="1">
      <c r="A483" s="458"/>
      <c r="B483" s="458"/>
      <c r="C483" s="458"/>
      <c r="D483" s="458"/>
      <c r="E483" s="458"/>
      <c r="F483" s="458"/>
    </row>
    <row r="484" ht="15.75" customHeight="1">
      <c r="A484" s="458"/>
      <c r="B484" s="458"/>
      <c r="C484" s="458"/>
      <c r="D484" s="458"/>
      <c r="E484" s="458"/>
      <c r="F484" s="458"/>
    </row>
    <row r="485" ht="15.75" customHeight="1">
      <c r="A485" s="458"/>
      <c r="B485" s="458"/>
      <c r="C485" s="458"/>
      <c r="D485" s="458"/>
      <c r="E485" s="458"/>
      <c r="F485" s="458"/>
    </row>
    <row r="486" ht="15.75" customHeight="1">
      <c r="A486" s="458"/>
      <c r="B486" s="458"/>
      <c r="C486" s="458"/>
      <c r="D486" s="458"/>
      <c r="E486" s="458"/>
      <c r="F486" s="458"/>
    </row>
    <row r="487" ht="15.75" customHeight="1">
      <c r="A487" s="458"/>
      <c r="B487" s="458"/>
      <c r="C487" s="458"/>
      <c r="D487" s="458"/>
      <c r="E487" s="458"/>
      <c r="F487" s="458"/>
    </row>
    <row r="488" ht="15.75" customHeight="1">
      <c r="A488" s="458"/>
      <c r="B488" s="458"/>
      <c r="C488" s="458"/>
      <c r="D488" s="458"/>
      <c r="E488" s="458"/>
      <c r="F488" s="458"/>
    </row>
    <row r="489" ht="15.75" customHeight="1">
      <c r="A489" s="458"/>
      <c r="B489" s="458"/>
      <c r="C489" s="458"/>
      <c r="D489" s="458"/>
      <c r="E489" s="458"/>
      <c r="F489" s="458"/>
    </row>
    <row r="490" ht="15.75" customHeight="1">
      <c r="A490" s="458"/>
      <c r="B490" s="458"/>
      <c r="C490" s="458"/>
      <c r="D490" s="458"/>
      <c r="E490" s="458"/>
      <c r="F490" s="458"/>
    </row>
    <row r="491" ht="15.75" customHeight="1">
      <c r="A491" s="458"/>
      <c r="B491" s="458"/>
      <c r="C491" s="458"/>
      <c r="D491" s="458"/>
      <c r="E491" s="458"/>
      <c r="F491" s="458"/>
    </row>
    <row r="492" ht="15.75" customHeight="1">
      <c r="A492" s="458"/>
      <c r="B492" s="458"/>
      <c r="C492" s="458"/>
      <c r="D492" s="458"/>
      <c r="E492" s="458"/>
      <c r="F492" s="458"/>
    </row>
    <row r="493" ht="15.75" customHeight="1">
      <c r="A493" s="458"/>
      <c r="B493" s="458"/>
      <c r="C493" s="458"/>
      <c r="D493" s="458"/>
      <c r="E493" s="458"/>
      <c r="F493" s="458"/>
    </row>
    <row r="494" ht="15.75" customHeight="1">
      <c r="A494" s="458"/>
      <c r="B494" s="458"/>
      <c r="C494" s="458"/>
      <c r="D494" s="458"/>
      <c r="E494" s="458"/>
      <c r="F494" s="458"/>
    </row>
    <row r="495" ht="15.75" customHeight="1">
      <c r="A495" s="458"/>
      <c r="B495" s="458"/>
      <c r="C495" s="458"/>
      <c r="D495" s="458"/>
      <c r="E495" s="458"/>
      <c r="F495" s="458"/>
    </row>
    <row r="496" ht="15.75" customHeight="1">
      <c r="A496" s="458"/>
      <c r="B496" s="458"/>
      <c r="C496" s="458"/>
      <c r="D496" s="458"/>
      <c r="E496" s="458"/>
      <c r="F496" s="458"/>
    </row>
    <row r="497" ht="15.75" customHeight="1">
      <c r="A497" s="458"/>
      <c r="B497" s="458"/>
      <c r="C497" s="458"/>
      <c r="D497" s="458"/>
      <c r="E497" s="458"/>
      <c r="F497" s="458"/>
    </row>
    <row r="498" ht="15.75" customHeight="1">
      <c r="A498" s="458"/>
      <c r="B498" s="458"/>
      <c r="C498" s="458"/>
      <c r="D498" s="458"/>
      <c r="E498" s="458"/>
      <c r="F498" s="458"/>
    </row>
    <row r="499" ht="15.75" customHeight="1">
      <c r="A499" s="458"/>
      <c r="B499" s="458"/>
      <c r="C499" s="458"/>
      <c r="D499" s="458"/>
      <c r="E499" s="458"/>
      <c r="F499" s="458"/>
    </row>
    <row r="500" ht="15.75" customHeight="1">
      <c r="A500" s="458"/>
      <c r="B500" s="458"/>
      <c r="C500" s="458"/>
      <c r="D500" s="458"/>
      <c r="E500" s="458"/>
      <c r="F500" s="458"/>
    </row>
    <row r="501" ht="15.75" customHeight="1">
      <c r="A501" s="458"/>
      <c r="B501" s="458"/>
      <c r="C501" s="458"/>
      <c r="D501" s="458"/>
      <c r="E501" s="458"/>
      <c r="F501" s="458"/>
    </row>
    <row r="502" ht="15.75" customHeight="1">
      <c r="A502" s="458"/>
      <c r="B502" s="458"/>
      <c r="C502" s="458"/>
      <c r="D502" s="458"/>
      <c r="E502" s="458"/>
      <c r="F502" s="458"/>
    </row>
    <row r="503" ht="15.75" customHeight="1">
      <c r="A503" s="458"/>
      <c r="B503" s="458"/>
      <c r="C503" s="458"/>
      <c r="D503" s="458"/>
      <c r="E503" s="458"/>
      <c r="F503" s="458"/>
    </row>
    <row r="504" ht="15.75" customHeight="1">
      <c r="A504" s="458"/>
      <c r="B504" s="458"/>
      <c r="C504" s="458"/>
      <c r="D504" s="458"/>
      <c r="E504" s="458"/>
      <c r="F504" s="458"/>
    </row>
    <row r="505" ht="15.75" customHeight="1">
      <c r="A505" s="458"/>
      <c r="B505" s="458"/>
      <c r="C505" s="458"/>
      <c r="D505" s="458"/>
      <c r="E505" s="458"/>
      <c r="F505" s="458"/>
    </row>
    <row r="506" ht="15.75" customHeight="1">
      <c r="A506" s="458"/>
      <c r="B506" s="458"/>
      <c r="C506" s="458"/>
      <c r="D506" s="458"/>
      <c r="E506" s="458"/>
      <c r="F506" s="458"/>
    </row>
    <row r="507" ht="15.75" customHeight="1">
      <c r="A507" s="458"/>
      <c r="B507" s="458"/>
      <c r="C507" s="458"/>
      <c r="D507" s="458"/>
      <c r="E507" s="458"/>
      <c r="F507" s="458"/>
    </row>
    <row r="508" ht="15.75" customHeight="1">
      <c r="A508" s="458"/>
      <c r="B508" s="458"/>
      <c r="C508" s="458"/>
      <c r="D508" s="458"/>
      <c r="E508" s="458"/>
      <c r="F508" s="458"/>
    </row>
    <row r="509" ht="15.75" customHeight="1">
      <c r="A509" s="458"/>
      <c r="B509" s="458"/>
      <c r="C509" s="458"/>
      <c r="D509" s="458"/>
      <c r="E509" s="458"/>
      <c r="F509" s="458"/>
    </row>
    <row r="510" ht="15.75" customHeight="1">
      <c r="A510" s="458"/>
      <c r="B510" s="458"/>
      <c r="C510" s="458"/>
      <c r="D510" s="458"/>
      <c r="E510" s="458"/>
      <c r="F510" s="458"/>
    </row>
    <row r="511" ht="15.75" customHeight="1">
      <c r="A511" s="458"/>
      <c r="B511" s="458"/>
      <c r="C511" s="458"/>
      <c r="D511" s="458"/>
      <c r="E511" s="458"/>
      <c r="F511" s="458"/>
    </row>
    <row r="512" ht="15.75" customHeight="1">
      <c r="A512" s="458"/>
      <c r="B512" s="458"/>
      <c r="C512" s="458"/>
      <c r="D512" s="458"/>
      <c r="E512" s="458"/>
      <c r="F512" s="458"/>
    </row>
    <row r="513" ht="15.75" customHeight="1">
      <c r="A513" s="458"/>
      <c r="B513" s="458"/>
      <c r="C513" s="458"/>
      <c r="D513" s="458"/>
      <c r="E513" s="458"/>
      <c r="F513" s="458"/>
    </row>
    <row r="514" ht="15.75" customHeight="1">
      <c r="A514" s="458"/>
      <c r="B514" s="458"/>
      <c r="C514" s="458"/>
      <c r="D514" s="458"/>
      <c r="E514" s="458"/>
      <c r="F514" s="458"/>
    </row>
    <row r="515" ht="15.75" customHeight="1">
      <c r="A515" s="458"/>
      <c r="B515" s="458"/>
      <c r="C515" s="458"/>
      <c r="D515" s="458"/>
      <c r="E515" s="458"/>
      <c r="F515" s="458"/>
    </row>
    <row r="516" ht="15.75" customHeight="1">
      <c r="A516" s="458"/>
      <c r="B516" s="458"/>
      <c r="C516" s="458"/>
      <c r="D516" s="458"/>
      <c r="E516" s="458"/>
      <c r="F516" s="458"/>
    </row>
    <row r="517" ht="15.75" customHeight="1">
      <c r="A517" s="458"/>
      <c r="B517" s="458"/>
      <c r="C517" s="458"/>
      <c r="D517" s="458"/>
      <c r="E517" s="458"/>
      <c r="F517" s="458"/>
    </row>
    <row r="518" ht="15.75" customHeight="1">
      <c r="A518" s="458"/>
      <c r="B518" s="458"/>
      <c r="C518" s="458"/>
      <c r="D518" s="458"/>
      <c r="E518" s="458"/>
      <c r="F518" s="458"/>
    </row>
    <row r="519" ht="15.75" customHeight="1">
      <c r="A519" s="458"/>
      <c r="B519" s="458"/>
      <c r="C519" s="458"/>
      <c r="D519" s="458"/>
      <c r="E519" s="458"/>
      <c r="F519" s="458"/>
    </row>
    <row r="520" ht="15.75" customHeight="1">
      <c r="A520" s="458"/>
      <c r="B520" s="458"/>
      <c r="C520" s="458"/>
      <c r="D520" s="458"/>
      <c r="E520" s="458"/>
      <c r="F520" s="458"/>
    </row>
    <row r="521" ht="15.75" customHeight="1">
      <c r="A521" s="458"/>
      <c r="B521" s="458"/>
      <c r="C521" s="458"/>
      <c r="D521" s="458"/>
      <c r="E521" s="458"/>
      <c r="F521" s="458"/>
    </row>
    <row r="522" ht="15.75" customHeight="1">
      <c r="A522" s="458"/>
      <c r="B522" s="458"/>
      <c r="C522" s="458"/>
      <c r="D522" s="458"/>
      <c r="E522" s="458"/>
      <c r="F522" s="458"/>
    </row>
    <row r="523" ht="15.75" customHeight="1">
      <c r="A523" s="458"/>
      <c r="B523" s="458"/>
      <c r="C523" s="458"/>
      <c r="D523" s="458"/>
      <c r="E523" s="458"/>
      <c r="F523" s="458"/>
    </row>
    <row r="524" ht="15.75" customHeight="1">
      <c r="A524" s="458"/>
      <c r="B524" s="458"/>
      <c r="C524" s="458"/>
      <c r="D524" s="458"/>
      <c r="E524" s="458"/>
      <c r="F524" s="458"/>
    </row>
    <row r="525" ht="15.75" customHeight="1">
      <c r="A525" s="458"/>
      <c r="B525" s="458"/>
      <c r="C525" s="458"/>
      <c r="D525" s="458"/>
      <c r="E525" s="458"/>
      <c r="F525" s="458"/>
    </row>
    <row r="526" ht="15.75" customHeight="1">
      <c r="A526" s="458"/>
      <c r="B526" s="458"/>
      <c r="C526" s="458"/>
      <c r="D526" s="458"/>
      <c r="E526" s="458"/>
      <c r="F526" s="458"/>
    </row>
    <row r="527" ht="15.75" customHeight="1">
      <c r="A527" s="458"/>
      <c r="B527" s="458"/>
      <c r="C527" s="458"/>
      <c r="D527" s="458"/>
      <c r="E527" s="458"/>
      <c r="F527" s="458"/>
    </row>
    <row r="528" ht="15.75" customHeight="1">
      <c r="A528" s="458"/>
      <c r="B528" s="458"/>
      <c r="C528" s="458"/>
      <c r="D528" s="458"/>
      <c r="E528" s="458"/>
      <c r="F528" s="458"/>
    </row>
    <row r="529" ht="15.75" customHeight="1">
      <c r="A529" s="458"/>
      <c r="B529" s="458"/>
      <c r="C529" s="458"/>
      <c r="D529" s="458"/>
      <c r="E529" s="458"/>
      <c r="F529" s="458"/>
    </row>
    <row r="530" ht="15.75" customHeight="1">
      <c r="A530" s="458"/>
      <c r="B530" s="458"/>
      <c r="C530" s="458"/>
      <c r="D530" s="458"/>
      <c r="E530" s="458"/>
      <c r="F530" s="458"/>
    </row>
    <row r="531" ht="15.75" customHeight="1">
      <c r="A531" s="458"/>
      <c r="B531" s="458"/>
      <c r="C531" s="458"/>
      <c r="D531" s="458"/>
      <c r="E531" s="458"/>
      <c r="F531" s="458"/>
    </row>
    <row r="532" ht="15.75" customHeight="1">
      <c r="A532" s="458"/>
      <c r="B532" s="458"/>
      <c r="C532" s="458"/>
      <c r="D532" s="458"/>
      <c r="E532" s="458"/>
      <c r="F532" s="458"/>
    </row>
    <row r="533" ht="15.75" customHeight="1">
      <c r="A533" s="458"/>
      <c r="B533" s="458"/>
      <c r="C533" s="458"/>
      <c r="D533" s="458"/>
      <c r="E533" s="458"/>
      <c r="F533" s="458"/>
    </row>
    <row r="534" ht="15.75" customHeight="1">
      <c r="A534" s="458"/>
      <c r="B534" s="458"/>
      <c r="C534" s="458"/>
      <c r="D534" s="458"/>
      <c r="E534" s="458"/>
      <c r="F534" s="458"/>
    </row>
    <row r="535" ht="15.75" customHeight="1">
      <c r="A535" s="458"/>
      <c r="B535" s="458"/>
      <c r="C535" s="458"/>
      <c r="D535" s="458"/>
      <c r="E535" s="458"/>
      <c r="F535" s="458"/>
    </row>
    <row r="536" ht="15.75" customHeight="1">
      <c r="A536" s="458"/>
      <c r="B536" s="458"/>
      <c r="C536" s="458"/>
      <c r="D536" s="458"/>
      <c r="E536" s="458"/>
      <c r="F536" s="458"/>
    </row>
    <row r="537" ht="15.75" customHeight="1">
      <c r="A537" s="458"/>
      <c r="B537" s="458"/>
      <c r="C537" s="458"/>
      <c r="D537" s="458"/>
      <c r="E537" s="458"/>
      <c r="F537" s="458"/>
    </row>
    <row r="538" ht="15.75" customHeight="1">
      <c r="A538" s="458"/>
      <c r="B538" s="458"/>
      <c r="C538" s="458"/>
      <c r="D538" s="458"/>
      <c r="E538" s="458"/>
      <c r="F538" s="458"/>
    </row>
    <row r="539" ht="15.75" customHeight="1">
      <c r="A539" s="458"/>
      <c r="B539" s="458"/>
      <c r="C539" s="458"/>
      <c r="D539" s="458"/>
      <c r="E539" s="458"/>
      <c r="F539" s="458"/>
    </row>
    <row r="540" ht="15.75" customHeight="1">
      <c r="A540" s="458"/>
      <c r="B540" s="458"/>
      <c r="C540" s="458"/>
      <c r="D540" s="458"/>
      <c r="E540" s="458"/>
      <c r="F540" s="458"/>
    </row>
    <row r="541" ht="15.75" customHeight="1">
      <c r="A541" s="458"/>
      <c r="B541" s="458"/>
      <c r="C541" s="458"/>
      <c r="D541" s="458"/>
      <c r="E541" s="458"/>
      <c r="F541" s="458"/>
    </row>
    <row r="542" ht="15.75" customHeight="1">
      <c r="A542" s="458"/>
      <c r="B542" s="458"/>
      <c r="C542" s="458"/>
      <c r="D542" s="458"/>
      <c r="E542" s="458"/>
      <c r="F542" s="458"/>
    </row>
    <row r="543" ht="15.75" customHeight="1">
      <c r="A543" s="458"/>
      <c r="B543" s="458"/>
      <c r="C543" s="458"/>
      <c r="D543" s="458"/>
      <c r="E543" s="458"/>
      <c r="F543" s="458"/>
    </row>
    <row r="544" ht="15.75" customHeight="1">
      <c r="A544" s="458"/>
      <c r="B544" s="458"/>
      <c r="C544" s="458"/>
      <c r="D544" s="458"/>
      <c r="E544" s="458"/>
      <c r="F544" s="458"/>
    </row>
    <row r="545" ht="15.75" customHeight="1">
      <c r="A545" s="458"/>
      <c r="B545" s="458"/>
      <c r="C545" s="458"/>
      <c r="D545" s="458"/>
      <c r="E545" s="458"/>
      <c r="F545" s="458"/>
    </row>
    <row r="546" ht="15.75" customHeight="1">
      <c r="A546" s="458"/>
      <c r="B546" s="458"/>
      <c r="C546" s="458"/>
      <c r="D546" s="458"/>
      <c r="E546" s="458"/>
      <c r="F546" s="458"/>
    </row>
    <row r="547" ht="15.75" customHeight="1">
      <c r="A547" s="458"/>
      <c r="B547" s="458"/>
      <c r="C547" s="458"/>
      <c r="D547" s="458"/>
      <c r="E547" s="458"/>
      <c r="F547" s="458"/>
    </row>
    <row r="548" ht="15.75" customHeight="1">
      <c r="A548" s="458"/>
      <c r="B548" s="458"/>
      <c r="C548" s="458"/>
      <c r="D548" s="458"/>
      <c r="E548" s="458"/>
      <c r="F548" s="458"/>
    </row>
    <row r="549" ht="15.75" customHeight="1">
      <c r="A549" s="458"/>
      <c r="B549" s="458"/>
      <c r="C549" s="458"/>
      <c r="D549" s="458"/>
      <c r="E549" s="458"/>
      <c r="F549" s="458"/>
    </row>
    <row r="550" ht="15.75" customHeight="1">
      <c r="A550" s="458"/>
      <c r="B550" s="458"/>
      <c r="C550" s="458"/>
      <c r="D550" s="458"/>
      <c r="E550" s="458"/>
      <c r="F550" s="458"/>
    </row>
    <row r="551" ht="15.75" customHeight="1">
      <c r="A551" s="458"/>
      <c r="B551" s="458"/>
      <c r="C551" s="458"/>
      <c r="D551" s="458"/>
      <c r="E551" s="458"/>
      <c r="F551" s="458"/>
    </row>
    <row r="552" ht="15.75" customHeight="1">
      <c r="A552" s="458"/>
      <c r="B552" s="458"/>
      <c r="C552" s="458"/>
      <c r="D552" s="458"/>
      <c r="E552" s="458"/>
      <c r="F552" s="458"/>
    </row>
    <row r="553" ht="15.75" customHeight="1">
      <c r="A553" s="458"/>
      <c r="B553" s="458"/>
      <c r="C553" s="458"/>
      <c r="D553" s="458"/>
      <c r="E553" s="458"/>
      <c r="F553" s="458"/>
    </row>
    <row r="554" ht="15.75" customHeight="1">
      <c r="A554" s="458"/>
      <c r="B554" s="458"/>
      <c r="C554" s="458"/>
      <c r="D554" s="458"/>
      <c r="E554" s="458"/>
      <c r="F554" s="458"/>
    </row>
    <row r="555" ht="15.75" customHeight="1">
      <c r="A555" s="458"/>
      <c r="B555" s="458"/>
      <c r="C555" s="458"/>
      <c r="D555" s="458"/>
      <c r="E555" s="458"/>
      <c r="F555" s="458"/>
    </row>
    <row r="556" ht="15.75" customHeight="1">
      <c r="A556" s="458"/>
      <c r="B556" s="458"/>
      <c r="C556" s="458"/>
      <c r="D556" s="458"/>
      <c r="E556" s="458"/>
      <c r="F556" s="458"/>
    </row>
    <row r="557" ht="15.75" customHeight="1">
      <c r="A557" s="458"/>
      <c r="B557" s="458"/>
      <c r="C557" s="458"/>
      <c r="D557" s="458"/>
      <c r="E557" s="458"/>
      <c r="F557" s="458"/>
    </row>
    <row r="558" ht="15.75" customHeight="1">
      <c r="A558" s="458"/>
      <c r="B558" s="458"/>
      <c r="C558" s="458"/>
      <c r="D558" s="458"/>
      <c r="E558" s="458"/>
      <c r="F558" s="458"/>
    </row>
    <row r="559" ht="15.75" customHeight="1">
      <c r="A559" s="458"/>
      <c r="B559" s="458"/>
      <c r="C559" s="458"/>
      <c r="D559" s="458"/>
      <c r="E559" s="458"/>
      <c r="F559" s="458"/>
    </row>
    <row r="560" ht="15.75" customHeight="1">
      <c r="A560" s="458"/>
      <c r="B560" s="458"/>
      <c r="C560" s="458"/>
      <c r="D560" s="458"/>
      <c r="E560" s="458"/>
      <c r="F560" s="458"/>
    </row>
    <row r="561" ht="15.75" customHeight="1">
      <c r="A561" s="458"/>
      <c r="B561" s="458"/>
      <c r="C561" s="458"/>
      <c r="D561" s="458"/>
      <c r="E561" s="458"/>
      <c r="F561" s="458"/>
    </row>
    <row r="562" ht="15.75" customHeight="1">
      <c r="A562" s="458"/>
      <c r="B562" s="458"/>
      <c r="C562" s="458"/>
      <c r="D562" s="458"/>
      <c r="E562" s="458"/>
      <c r="F562" s="458"/>
    </row>
    <row r="563" ht="15.75" customHeight="1">
      <c r="A563" s="458"/>
      <c r="B563" s="458"/>
      <c r="C563" s="458"/>
      <c r="D563" s="458"/>
      <c r="E563" s="458"/>
      <c r="F563" s="458"/>
    </row>
    <row r="564" ht="15.75" customHeight="1">
      <c r="A564" s="458"/>
      <c r="B564" s="458"/>
      <c r="C564" s="458"/>
      <c r="D564" s="458"/>
      <c r="E564" s="458"/>
      <c r="F564" s="458"/>
    </row>
    <row r="565" ht="15.75" customHeight="1">
      <c r="A565" s="458"/>
      <c r="B565" s="458"/>
      <c r="C565" s="458"/>
      <c r="D565" s="458"/>
      <c r="E565" s="458"/>
      <c r="F565" s="458"/>
    </row>
    <row r="566" ht="15.75" customHeight="1">
      <c r="A566" s="458"/>
      <c r="B566" s="458"/>
      <c r="C566" s="458"/>
      <c r="D566" s="458"/>
      <c r="E566" s="458"/>
      <c r="F566" s="458"/>
    </row>
    <row r="567" ht="15.75" customHeight="1">
      <c r="A567" s="458"/>
      <c r="B567" s="458"/>
      <c r="C567" s="458"/>
      <c r="D567" s="458"/>
      <c r="E567" s="458"/>
      <c r="F567" s="458"/>
    </row>
    <row r="568" ht="15.75" customHeight="1">
      <c r="A568" s="458"/>
      <c r="B568" s="458"/>
      <c r="C568" s="458"/>
      <c r="D568" s="458"/>
      <c r="E568" s="458"/>
      <c r="F568" s="458"/>
    </row>
    <row r="569" ht="15.75" customHeight="1">
      <c r="A569" s="458"/>
      <c r="B569" s="458"/>
      <c r="C569" s="458"/>
      <c r="D569" s="458"/>
      <c r="E569" s="458"/>
      <c r="F569" s="458"/>
    </row>
    <row r="570" ht="15.75" customHeight="1">
      <c r="A570" s="458"/>
      <c r="B570" s="458"/>
      <c r="C570" s="458"/>
      <c r="D570" s="458"/>
      <c r="E570" s="458"/>
      <c r="F570" s="458"/>
    </row>
    <row r="571" ht="15.75" customHeight="1">
      <c r="A571" s="458"/>
      <c r="B571" s="458"/>
      <c r="C571" s="458"/>
      <c r="D571" s="458"/>
      <c r="E571" s="458"/>
      <c r="F571" s="458"/>
    </row>
    <row r="572" ht="15.75" customHeight="1">
      <c r="A572" s="458"/>
      <c r="B572" s="458"/>
      <c r="C572" s="458"/>
      <c r="D572" s="458"/>
      <c r="E572" s="458"/>
      <c r="F572" s="458"/>
    </row>
    <row r="573" ht="15.75" customHeight="1">
      <c r="A573" s="458"/>
      <c r="B573" s="458"/>
      <c r="C573" s="458"/>
      <c r="D573" s="458"/>
      <c r="E573" s="458"/>
      <c r="F573" s="458"/>
    </row>
    <row r="574" ht="15.75" customHeight="1">
      <c r="A574" s="458"/>
      <c r="B574" s="458"/>
      <c r="C574" s="458"/>
      <c r="D574" s="458"/>
      <c r="E574" s="458"/>
      <c r="F574" s="458"/>
    </row>
    <row r="575" ht="15.75" customHeight="1">
      <c r="A575" s="458"/>
      <c r="B575" s="458"/>
      <c r="C575" s="458"/>
      <c r="D575" s="458"/>
      <c r="E575" s="458"/>
      <c r="F575" s="458"/>
    </row>
    <row r="576" ht="15.75" customHeight="1">
      <c r="A576" s="458"/>
      <c r="B576" s="458"/>
      <c r="C576" s="458"/>
      <c r="D576" s="458"/>
      <c r="E576" s="458"/>
      <c r="F576" s="458"/>
    </row>
    <row r="577" ht="15.75" customHeight="1">
      <c r="A577" s="458"/>
      <c r="B577" s="458"/>
      <c r="C577" s="458"/>
      <c r="D577" s="458"/>
      <c r="E577" s="458"/>
      <c r="F577" s="458"/>
    </row>
    <row r="578" ht="15.75" customHeight="1">
      <c r="A578" s="458"/>
      <c r="B578" s="458"/>
      <c r="C578" s="458"/>
      <c r="D578" s="458"/>
      <c r="E578" s="458"/>
      <c r="F578" s="458"/>
    </row>
    <row r="579" ht="15.75" customHeight="1">
      <c r="A579" s="458"/>
      <c r="B579" s="458"/>
      <c r="C579" s="458"/>
      <c r="D579" s="458"/>
      <c r="E579" s="458"/>
      <c r="F579" s="458"/>
    </row>
    <row r="580" ht="15.75" customHeight="1">
      <c r="A580" s="458"/>
      <c r="B580" s="458"/>
      <c r="C580" s="458"/>
      <c r="D580" s="458"/>
      <c r="E580" s="458"/>
      <c r="F580" s="458"/>
    </row>
    <row r="581" ht="15.75" customHeight="1">
      <c r="A581" s="458"/>
      <c r="B581" s="458"/>
      <c r="C581" s="458"/>
      <c r="D581" s="458"/>
      <c r="E581" s="458"/>
      <c r="F581" s="458"/>
    </row>
    <row r="582" ht="15.75" customHeight="1">
      <c r="A582" s="458"/>
      <c r="B582" s="458"/>
      <c r="C582" s="458"/>
      <c r="D582" s="458"/>
      <c r="E582" s="458"/>
      <c r="F582" s="458"/>
    </row>
    <row r="583" ht="15.75" customHeight="1">
      <c r="A583" s="458"/>
      <c r="B583" s="458"/>
      <c r="C583" s="458"/>
      <c r="D583" s="458"/>
      <c r="E583" s="458"/>
      <c r="F583" s="458"/>
    </row>
    <row r="584" ht="15.75" customHeight="1">
      <c r="A584" s="458"/>
      <c r="B584" s="458"/>
      <c r="C584" s="458"/>
      <c r="D584" s="458"/>
      <c r="E584" s="458"/>
      <c r="F584" s="458"/>
    </row>
    <row r="585" ht="15.75" customHeight="1">
      <c r="A585" s="458"/>
      <c r="B585" s="458"/>
      <c r="C585" s="458"/>
      <c r="D585" s="458"/>
      <c r="E585" s="458"/>
      <c r="F585" s="458"/>
    </row>
    <row r="586" ht="15.75" customHeight="1">
      <c r="A586" s="458"/>
      <c r="B586" s="458"/>
      <c r="C586" s="458"/>
      <c r="D586" s="458"/>
      <c r="E586" s="458"/>
      <c r="F586" s="458"/>
    </row>
    <row r="587" ht="15.75" customHeight="1">
      <c r="A587" s="458"/>
      <c r="B587" s="458"/>
      <c r="C587" s="458"/>
      <c r="D587" s="458"/>
      <c r="E587" s="458"/>
      <c r="F587" s="458"/>
    </row>
    <row r="588" ht="15.75" customHeight="1">
      <c r="A588" s="458"/>
      <c r="B588" s="458"/>
      <c r="C588" s="458"/>
      <c r="D588" s="458"/>
      <c r="E588" s="458"/>
      <c r="F588" s="458"/>
    </row>
    <row r="589" ht="15.75" customHeight="1">
      <c r="A589" s="458"/>
      <c r="B589" s="458"/>
      <c r="C589" s="458"/>
      <c r="D589" s="458"/>
      <c r="E589" s="458"/>
      <c r="F589" s="458"/>
    </row>
    <row r="590" ht="15.75" customHeight="1">
      <c r="A590" s="458"/>
      <c r="B590" s="458"/>
      <c r="C590" s="458"/>
      <c r="D590" s="458"/>
      <c r="E590" s="458"/>
      <c r="F590" s="458"/>
    </row>
    <row r="591" ht="15.75" customHeight="1">
      <c r="A591" s="458"/>
      <c r="B591" s="458"/>
      <c r="C591" s="458"/>
      <c r="D591" s="458"/>
      <c r="E591" s="458"/>
      <c r="F591" s="458"/>
    </row>
    <row r="592" ht="15.75" customHeight="1">
      <c r="A592" s="458"/>
      <c r="B592" s="458"/>
      <c r="C592" s="458"/>
      <c r="D592" s="458"/>
      <c r="E592" s="458"/>
      <c r="F592" s="458"/>
    </row>
    <row r="593" ht="15.75" customHeight="1">
      <c r="A593" s="458"/>
      <c r="B593" s="458"/>
      <c r="C593" s="458"/>
      <c r="D593" s="458"/>
      <c r="E593" s="458"/>
      <c r="F593" s="458"/>
    </row>
    <row r="594" ht="15.75" customHeight="1">
      <c r="A594" s="458"/>
      <c r="B594" s="458"/>
      <c r="C594" s="458"/>
      <c r="D594" s="458"/>
      <c r="E594" s="458"/>
      <c r="F594" s="458"/>
    </row>
    <row r="595" ht="15.75" customHeight="1">
      <c r="A595" s="458"/>
      <c r="B595" s="458"/>
      <c r="C595" s="458"/>
      <c r="D595" s="458"/>
      <c r="E595" s="458"/>
      <c r="F595" s="458"/>
    </row>
    <row r="596" ht="15.75" customHeight="1">
      <c r="A596" s="458"/>
      <c r="B596" s="458"/>
      <c r="C596" s="458"/>
      <c r="D596" s="458"/>
      <c r="E596" s="458"/>
      <c r="F596" s="458"/>
    </row>
    <row r="597" ht="15.75" customHeight="1">
      <c r="A597" s="458"/>
      <c r="B597" s="458"/>
      <c r="C597" s="458"/>
      <c r="D597" s="458"/>
      <c r="E597" s="458"/>
      <c r="F597" s="458"/>
    </row>
    <row r="598" ht="15.75" customHeight="1">
      <c r="A598" s="458"/>
      <c r="B598" s="458"/>
      <c r="C598" s="458"/>
      <c r="D598" s="458"/>
      <c r="E598" s="458"/>
      <c r="F598" s="458"/>
    </row>
    <row r="599" ht="15.75" customHeight="1">
      <c r="A599" s="458"/>
      <c r="B599" s="458"/>
      <c r="C599" s="458"/>
      <c r="D599" s="458"/>
      <c r="E599" s="458"/>
      <c r="F599" s="458"/>
    </row>
    <row r="600" ht="15.75" customHeight="1">
      <c r="A600" s="458"/>
      <c r="B600" s="458"/>
      <c r="C600" s="458"/>
      <c r="D600" s="458"/>
      <c r="E600" s="458"/>
      <c r="F600" s="458"/>
    </row>
    <row r="601" ht="15.75" customHeight="1">
      <c r="A601" s="458"/>
      <c r="B601" s="458"/>
      <c r="C601" s="458"/>
      <c r="D601" s="458"/>
      <c r="E601" s="458"/>
      <c r="F601" s="458"/>
    </row>
    <row r="602" ht="15.75" customHeight="1">
      <c r="A602" s="458"/>
      <c r="B602" s="458"/>
      <c r="C602" s="458"/>
      <c r="D602" s="458"/>
      <c r="E602" s="458"/>
      <c r="F602" s="458"/>
    </row>
    <row r="603" ht="15.75" customHeight="1">
      <c r="A603" s="458"/>
      <c r="B603" s="458"/>
      <c r="C603" s="458"/>
      <c r="D603" s="458"/>
      <c r="E603" s="458"/>
      <c r="F603" s="458"/>
    </row>
    <row r="604" ht="15.75" customHeight="1">
      <c r="A604" s="458"/>
      <c r="B604" s="458"/>
      <c r="C604" s="458"/>
      <c r="D604" s="458"/>
      <c r="E604" s="458"/>
      <c r="F604" s="458"/>
    </row>
    <row r="605" ht="15.75" customHeight="1">
      <c r="A605" s="458"/>
      <c r="B605" s="458"/>
      <c r="C605" s="458"/>
      <c r="D605" s="458"/>
      <c r="E605" s="458"/>
      <c r="F605" s="458"/>
    </row>
    <row r="606" ht="15.75" customHeight="1">
      <c r="A606" s="458"/>
      <c r="B606" s="458"/>
      <c r="C606" s="458"/>
      <c r="D606" s="458"/>
      <c r="E606" s="458"/>
      <c r="F606" s="458"/>
    </row>
    <row r="607" ht="15.75" customHeight="1">
      <c r="A607" s="458"/>
      <c r="B607" s="458"/>
      <c r="C607" s="458"/>
      <c r="D607" s="458"/>
      <c r="E607" s="458"/>
      <c r="F607" s="458"/>
    </row>
    <row r="608" ht="15.75" customHeight="1">
      <c r="A608" s="458"/>
      <c r="B608" s="458"/>
      <c r="C608" s="458"/>
      <c r="D608" s="458"/>
      <c r="E608" s="458"/>
      <c r="F608" s="458"/>
    </row>
    <row r="609" ht="15.75" customHeight="1">
      <c r="A609" s="458"/>
      <c r="B609" s="458"/>
      <c r="C609" s="458"/>
      <c r="D609" s="458"/>
      <c r="E609" s="458"/>
      <c r="F609" s="458"/>
    </row>
    <row r="610" ht="15.75" customHeight="1">
      <c r="A610" s="458"/>
      <c r="B610" s="458"/>
      <c r="C610" s="458"/>
      <c r="D610" s="458"/>
      <c r="E610" s="458"/>
      <c r="F610" s="458"/>
    </row>
    <row r="611" ht="15.75" customHeight="1">
      <c r="A611" s="458"/>
      <c r="B611" s="458"/>
      <c r="C611" s="458"/>
      <c r="D611" s="458"/>
      <c r="E611" s="458"/>
      <c r="F611" s="458"/>
    </row>
    <row r="612" ht="15.75" customHeight="1">
      <c r="A612" s="458"/>
      <c r="B612" s="458"/>
      <c r="C612" s="458"/>
      <c r="D612" s="458"/>
      <c r="E612" s="458"/>
      <c r="F612" s="458"/>
    </row>
    <row r="613" ht="15.75" customHeight="1">
      <c r="A613" s="458"/>
      <c r="B613" s="458"/>
      <c r="C613" s="458"/>
      <c r="D613" s="458"/>
      <c r="E613" s="458"/>
      <c r="F613" s="458"/>
    </row>
    <row r="614" ht="15.75" customHeight="1">
      <c r="A614" s="458"/>
      <c r="B614" s="458"/>
      <c r="C614" s="458"/>
      <c r="D614" s="458"/>
      <c r="E614" s="458"/>
      <c r="F614" s="458"/>
    </row>
    <row r="615" ht="15.75" customHeight="1">
      <c r="A615" s="458"/>
      <c r="B615" s="458"/>
      <c r="C615" s="458"/>
      <c r="D615" s="458"/>
      <c r="E615" s="458"/>
      <c r="F615" s="458"/>
    </row>
    <row r="616" ht="15.75" customHeight="1">
      <c r="A616" s="458"/>
      <c r="B616" s="458"/>
      <c r="C616" s="458"/>
      <c r="D616" s="458"/>
      <c r="E616" s="458"/>
      <c r="F616" s="458"/>
    </row>
    <row r="617" ht="15.75" customHeight="1">
      <c r="A617" s="458"/>
      <c r="B617" s="458"/>
      <c r="C617" s="458"/>
      <c r="D617" s="458"/>
      <c r="E617" s="458"/>
      <c r="F617" s="458"/>
    </row>
    <row r="618" ht="15.75" customHeight="1">
      <c r="A618" s="458"/>
      <c r="B618" s="458"/>
      <c r="C618" s="458"/>
      <c r="D618" s="458"/>
      <c r="E618" s="458"/>
      <c r="F618" s="458"/>
    </row>
    <row r="619" ht="15.75" customHeight="1">
      <c r="A619" s="458"/>
      <c r="B619" s="458"/>
      <c r="C619" s="458"/>
      <c r="D619" s="458"/>
      <c r="E619" s="458"/>
      <c r="F619" s="458"/>
    </row>
    <row r="620" ht="15.75" customHeight="1">
      <c r="A620" s="458"/>
      <c r="B620" s="458"/>
      <c r="C620" s="458"/>
      <c r="D620" s="458"/>
      <c r="E620" s="458"/>
      <c r="F620" s="458"/>
    </row>
    <row r="621" ht="15.75" customHeight="1">
      <c r="A621" s="458"/>
      <c r="B621" s="458"/>
      <c r="C621" s="458"/>
      <c r="D621" s="458"/>
      <c r="E621" s="458"/>
      <c r="F621" s="458"/>
    </row>
    <row r="622" ht="15.75" customHeight="1">
      <c r="A622" s="458"/>
      <c r="B622" s="458"/>
      <c r="C622" s="458"/>
      <c r="D622" s="458"/>
      <c r="E622" s="458"/>
      <c r="F622" s="458"/>
    </row>
    <row r="623" ht="15.75" customHeight="1">
      <c r="A623" s="458"/>
      <c r="B623" s="458"/>
      <c r="C623" s="458"/>
      <c r="D623" s="458"/>
      <c r="E623" s="458"/>
      <c r="F623" s="458"/>
    </row>
    <row r="624" ht="15.75" customHeight="1">
      <c r="A624" s="458"/>
      <c r="B624" s="458"/>
      <c r="C624" s="458"/>
      <c r="D624" s="458"/>
      <c r="E624" s="458"/>
      <c r="F624" s="458"/>
    </row>
    <row r="625" ht="15.75" customHeight="1">
      <c r="A625" s="458"/>
      <c r="B625" s="458"/>
      <c r="C625" s="458"/>
      <c r="D625" s="458"/>
      <c r="E625" s="458"/>
      <c r="F625" s="458"/>
    </row>
    <row r="626" ht="15.75" customHeight="1">
      <c r="A626" s="458"/>
      <c r="B626" s="458"/>
      <c r="C626" s="458"/>
      <c r="D626" s="458"/>
      <c r="E626" s="458"/>
      <c r="F626" s="458"/>
    </row>
    <row r="627" ht="15.75" customHeight="1">
      <c r="A627" s="458"/>
      <c r="B627" s="458"/>
      <c r="C627" s="458"/>
      <c r="D627" s="458"/>
      <c r="E627" s="458"/>
      <c r="F627" s="458"/>
    </row>
    <row r="628" ht="15.75" customHeight="1">
      <c r="A628" s="458"/>
      <c r="B628" s="458"/>
      <c r="C628" s="458"/>
      <c r="D628" s="458"/>
      <c r="E628" s="458"/>
      <c r="F628" s="458"/>
    </row>
    <row r="629" ht="15.75" customHeight="1">
      <c r="A629" s="458"/>
      <c r="B629" s="458"/>
      <c r="C629" s="458"/>
      <c r="D629" s="458"/>
      <c r="E629" s="458"/>
      <c r="F629" s="458"/>
    </row>
    <row r="630" ht="15.75" customHeight="1">
      <c r="A630" s="458"/>
      <c r="B630" s="458"/>
      <c r="C630" s="458"/>
      <c r="D630" s="458"/>
      <c r="E630" s="458"/>
      <c r="F630" s="458"/>
    </row>
    <row r="631" ht="15.75" customHeight="1">
      <c r="A631" s="458"/>
      <c r="B631" s="458"/>
      <c r="C631" s="458"/>
      <c r="D631" s="458"/>
      <c r="E631" s="458"/>
      <c r="F631" s="458"/>
    </row>
    <row r="632" ht="15.75" customHeight="1">
      <c r="A632" s="458"/>
      <c r="B632" s="458"/>
      <c r="C632" s="458"/>
      <c r="D632" s="458"/>
      <c r="E632" s="458"/>
      <c r="F632" s="458"/>
    </row>
    <row r="633" ht="15.75" customHeight="1">
      <c r="A633" s="458"/>
      <c r="B633" s="458"/>
      <c r="C633" s="458"/>
      <c r="D633" s="458"/>
      <c r="E633" s="458"/>
      <c r="F633" s="458"/>
    </row>
    <row r="634" ht="15.75" customHeight="1">
      <c r="A634" s="458"/>
      <c r="B634" s="458"/>
      <c r="C634" s="458"/>
      <c r="D634" s="458"/>
      <c r="E634" s="458"/>
      <c r="F634" s="458"/>
    </row>
    <row r="635" ht="15.75" customHeight="1">
      <c r="A635" s="458"/>
      <c r="B635" s="458"/>
      <c r="C635" s="458"/>
      <c r="D635" s="458"/>
      <c r="E635" s="458"/>
      <c r="F635" s="458"/>
    </row>
    <row r="636" ht="15.75" customHeight="1">
      <c r="A636" s="458"/>
      <c r="B636" s="458"/>
      <c r="C636" s="458"/>
      <c r="D636" s="458"/>
      <c r="E636" s="458"/>
      <c r="F636" s="458"/>
    </row>
    <row r="637" ht="15.75" customHeight="1">
      <c r="A637" s="458"/>
      <c r="B637" s="458"/>
      <c r="C637" s="458"/>
      <c r="D637" s="458"/>
      <c r="E637" s="458"/>
      <c r="F637" s="458"/>
    </row>
    <row r="638" ht="15.75" customHeight="1">
      <c r="A638" s="458"/>
      <c r="B638" s="458"/>
      <c r="C638" s="458"/>
      <c r="D638" s="458"/>
      <c r="E638" s="458"/>
      <c r="F638" s="458"/>
    </row>
    <row r="639" ht="15.75" customHeight="1">
      <c r="A639" s="458"/>
      <c r="B639" s="458"/>
      <c r="C639" s="458"/>
      <c r="D639" s="458"/>
      <c r="E639" s="458"/>
      <c r="F639" s="458"/>
    </row>
    <row r="640" ht="15.75" customHeight="1">
      <c r="A640" s="458"/>
      <c r="B640" s="458"/>
      <c r="C640" s="458"/>
      <c r="D640" s="458"/>
      <c r="E640" s="458"/>
      <c r="F640" s="458"/>
    </row>
    <row r="641" ht="15.75" customHeight="1">
      <c r="A641" s="458"/>
      <c r="B641" s="458"/>
      <c r="C641" s="458"/>
      <c r="D641" s="458"/>
      <c r="E641" s="458"/>
      <c r="F641" s="458"/>
    </row>
    <row r="642" ht="15.75" customHeight="1">
      <c r="A642" s="458"/>
      <c r="B642" s="458"/>
      <c r="C642" s="458"/>
      <c r="D642" s="458"/>
      <c r="E642" s="458"/>
      <c r="F642" s="458"/>
    </row>
    <row r="643" ht="15.75" customHeight="1">
      <c r="A643" s="458"/>
      <c r="B643" s="458"/>
      <c r="C643" s="458"/>
      <c r="D643" s="458"/>
      <c r="E643" s="458"/>
      <c r="F643" s="458"/>
    </row>
    <row r="644" ht="15.75" customHeight="1">
      <c r="A644" s="458"/>
      <c r="B644" s="458"/>
      <c r="C644" s="458"/>
      <c r="D644" s="458"/>
      <c r="E644" s="458"/>
      <c r="F644" s="458"/>
    </row>
    <row r="645" ht="15.75" customHeight="1">
      <c r="A645" s="458"/>
      <c r="B645" s="458"/>
      <c r="C645" s="458"/>
      <c r="D645" s="458"/>
      <c r="E645" s="458"/>
      <c r="F645" s="458"/>
    </row>
    <row r="646" ht="15.75" customHeight="1">
      <c r="A646" s="458"/>
      <c r="B646" s="458"/>
      <c r="C646" s="458"/>
      <c r="D646" s="458"/>
      <c r="E646" s="458"/>
      <c r="F646" s="458"/>
    </row>
    <row r="647" ht="15.75" customHeight="1">
      <c r="A647" s="458"/>
      <c r="B647" s="458"/>
      <c r="C647" s="458"/>
      <c r="D647" s="458"/>
      <c r="E647" s="458"/>
      <c r="F647" s="458"/>
    </row>
    <row r="648" ht="15.75" customHeight="1">
      <c r="A648" s="458"/>
      <c r="B648" s="458"/>
      <c r="C648" s="458"/>
      <c r="D648" s="458"/>
      <c r="E648" s="458"/>
      <c r="F648" s="458"/>
    </row>
    <row r="649" ht="15.75" customHeight="1">
      <c r="A649" s="458"/>
      <c r="B649" s="458"/>
      <c r="C649" s="458"/>
      <c r="D649" s="458"/>
      <c r="E649" s="458"/>
      <c r="F649" s="458"/>
    </row>
    <row r="650" ht="15.75" customHeight="1">
      <c r="A650" s="458"/>
      <c r="B650" s="458"/>
      <c r="C650" s="458"/>
      <c r="D650" s="458"/>
      <c r="E650" s="458"/>
      <c r="F650" s="458"/>
    </row>
    <row r="651" ht="15.75" customHeight="1">
      <c r="A651" s="458"/>
      <c r="B651" s="458"/>
      <c r="C651" s="458"/>
      <c r="D651" s="458"/>
      <c r="E651" s="458"/>
      <c r="F651" s="458"/>
    </row>
    <row r="652" ht="15.75" customHeight="1">
      <c r="A652" s="458"/>
      <c r="B652" s="458"/>
      <c r="C652" s="458"/>
      <c r="D652" s="458"/>
      <c r="E652" s="458"/>
      <c r="F652" s="458"/>
    </row>
    <row r="653" ht="15.75" customHeight="1">
      <c r="A653" s="458"/>
      <c r="B653" s="458"/>
      <c r="C653" s="458"/>
      <c r="D653" s="458"/>
      <c r="E653" s="458"/>
      <c r="F653" s="458"/>
    </row>
    <row r="654" ht="15.75" customHeight="1">
      <c r="A654" s="458"/>
      <c r="B654" s="458"/>
      <c r="C654" s="458"/>
      <c r="D654" s="458"/>
      <c r="E654" s="458"/>
      <c r="F654" s="458"/>
    </row>
    <row r="655" ht="15.75" customHeight="1">
      <c r="A655" s="458"/>
      <c r="B655" s="458"/>
      <c r="C655" s="458"/>
      <c r="D655" s="458"/>
      <c r="E655" s="458"/>
      <c r="F655" s="458"/>
    </row>
    <row r="656" ht="15.75" customHeight="1">
      <c r="A656" s="458"/>
      <c r="B656" s="458"/>
      <c r="C656" s="458"/>
      <c r="D656" s="458"/>
      <c r="E656" s="458"/>
      <c r="F656" s="458"/>
    </row>
    <row r="657" ht="15.75" customHeight="1">
      <c r="A657" s="458"/>
      <c r="B657" s="458"/>
      <c r="C657" s="458"/>
      <c r="D657" s="458"/>
      <c r="E657" s="458"/>
      <c r="F657" s="458"/>
    </row>
    <row r="658" ht="15.75" customHeight="1">
      <c r="A658" s="458"/>
      <c r="B658" s="458"/>
      <c r="C658" s="458"/>
      <c r="D658" s="458"/>
      <c r="E658" s="458"/>
      <c r="F658" s="458"/>
    </row>
    <row r="659" ht="15.75" customHeight="1">
      <c r="A659" s="458"/>
      <c r="B659" s="458"/>
      <c r="C659" s="458"/>
      <c r="D659" s="458"/>
      <c r="E659" s="458"/>
      <c r="F659" s="458"/>
    </row>
    <row r="660" ht="15.75" customHeight="1">
      <c r="A660" s="458"/>
      <c r="B660" s="458"/>
      <c r="C660" s="458"/>
      <c r="D660" s="458"/>
      <c r="E660" s="458"/>
      <c r="F660" s="458"/>
    </row>
    <row r="661" ht="15.75" customHeight="1">
      <c r="A661" s="458"/>
      <c r="B661" s="458"/>
      <c r="C661" s="458"/>
      <c r="D661" s="458"/>
      <c r="E661" s="458"/>
      <c r="F661" s="458"/>
    </row>
    <row r="662" ht="15.75" customHeight="1">
      <c r="A662" s="458"/>
      <c r="B662" s="458"/>
      <c r="C662" s="458"/>
      <c r="D662" s="458"/>
      <c r="E662" s="458"/>
      <c r="F662" s="458"/>
    </row>
    <row r="663" ht="15.75" customHeight="1">
      <c r="A663" s="458"/>
      <c r="B663" s="458"/>
      <c r="C663" s="458"/>
      <c r="D663" s="458"/>
      <c r="E663" s="458"/>
      <c r="F663" s="458"/>
    </row>
    <row r="664" ht="15.75" customHeight="1">
      <c r="A664" s="458"/>
      <c r="B664" s="458"/>
      <c r="C664" s="458"/>
      <c r="D664" s="458"/>
      <c r="E664" s="458"/>
      <c r="F664" s="458"/>
    </row>
    <row r="665" ht="15.75" customHeight="1">
      <c r="A665" s="458"/>
      <c r="B665" s="458"/>
      <c r="C665" s="458"/>
      <c r="D665" s="458"/>
      <c r="E665" s="458"/>
      <c r="F665" s="458"/>
    </row>
    <row r="666" ht="15.75" customHeight="1">
      <c r="A666" s="458"/>
      <c r="B666" s="458"/>
      <c r="C666" s="458"/>
      <c r="D666" s="458"/>
      <c r="E666" s="458"/>
      <c r="F666" s="458"/>
    </row>
    <row r="667" ht="15.75" customHeight="1">
      <c r="A667" s="458"/>
      <c r="B667" s="458"/>
      <c r="C667" s="458"/>
      <c r="D667" s="458"/>
      <c r="E667" s="458"/>
      <c r="F667" s="458"/>
    </row>
    <row r="668" ht="15.75" customHeight="1">
      <c r="A668" s="458"/>
      <c r="B668" s="458"/>
      <c r="C668" s="458"/>
      <c r="D668" s="458"/>
      <c r="E668" s="458"/>
      <c r="F668" s="458"/>
    </row>
    <row r="669" ht="15.75" customHeight="1">
      <c r="A669" s="458"/>
      <c r="B669" s="458"/>
      <c r="C669" s="458"/>
      <c r="D669" s="458"/>
      <c r="E669" s="458"/>
      <c r="F669" s="458"/>
    </row>
    <row r="670" ht="15.75" customHeight="1">
      <c r="A670" s="458"/>
      <c r="B670" s="458"/>
      <c r="C670" s="458"/>
      <c r="D670" s="458"/>
      <c r="E670" s="458"/>
      <c r="F670" s="458"/>
    </row>
    <row r="671" ht="15.75" customHeight="1">
      <c r="A671" s="458"/>
      <c r="B671" s="458"/>
      <c r="C671" s="458"/>
      <c r="D671" s="458"/>
      <c r="E671" s="458"/>
      <c r="F671" s="458"/>
    </row>
    <row r="672" ht="15.75" customHeight="1">
      <c r="A672" s="458"/>
      <c r="B672" s="458"/>
      <c r="C672" s="458"/>
      <c r="D672" s="458"/>
      <c r="E672" s="458"/>
      <c r="F672" s="458"/>
    </row>
    <row r="673" ht="15.75" customHeight="1">
      <c r="A673" s="458"/>
      <c r="B673" s="458"/>
      <c r="C673" s="458"/>
      <c r="D673" s="458"/>
      <c r="E673" s="458"/>
      <c r="F673" s="458"/>
    </row>
    <row r="674" ht="15.75" customHeight="1">
      <c r="A674" s="458"/>
      <c r="B674" s="458"/>
      <c r="C674" s="458"/>
      <c r="D674" s="458"/>
      <c r="E674" s="458"/>
      <c r="F674" s="458"/>
    </row>
    <row r="675" ht="15.75" customHeight="1">
      <c r="A675" s="458"/>
      <c r="B675" s="458"/>
      <c r="C675" s="458"/>
      <c r="D675" s="458"/>
      <c r="E675" s="458"/>
      <c r="F675" s="458"/>
    </row>
    <row r="676" ht="15.75" customHeight="1">
      <c r="A676" s="458"/>
      <c r="B676" s="458"/>
      <c r="C676" s="458"/>
      <c r="D676" s="458"/>
      <c r="E676" s="458"/>
      <c r="F676" s="458"/>
    </row>
    <row r="677" ht="15.75" customHeight="1">
      <c r="A677" s="458"/>
      <c r="B677" s="458"/>
      <c r="C677" s="458"/>
      <c r="D677" s="458"/>
      <c r="E677" s="458"/>
      <c r="F677" s="458"/>
    </row>
    <row r="678" ht="15.75" customHeight="1">
      <c r="A678" s="458"/>
      <c r="B678" s="458"/>
      <c r="C678" s="458"/>
      <c r="D678" s="458"/>
      <c r="E678" s="458"/>
      <c r="F678" s="458"/>
    </row>
    <row r="679" ht="15.75" customHeight="1">
      <c r="A679" s="458"/>
      <c r="B679" s="458"/>
      <c r="C679" s="458"/>
      <c r="D679" s="458"/>
      <c r="E679" s="458"/>
      <c r="F679" s="458"/>
    </row>
    <row r="680" ht="15.75" customHeight="1">
      <c r="A680" s="458"/>
      <c r="B680" s="458"/>
      <c r="C680" s="458"/>
      <c r="D680" s="458"/>
      <c r="E680" s="458"/>
      <c r="F680" s="458"/>
    </row>
    <row r="681" ht="15.75" customHeight="1">
      <c r="A681" s="458"/>
      <c r="B681" s="458"/>
      <c r="C681" s="458"/>
      <c r="D681" s="458"/>
      <c r="E681" s="458"/>
      <c r="F681" s="458"/>
    </row>
    <row r="682" ht="15.75" customHeight="1">
      <c r="A682" s="458"/>
      <c r="B682" s="458"/>
      <c r="C682" s="458"/>
      <c r="D682" s="458"/>
      <c r="E682" s="458"/>
      <c r="F682" s="458"/>
    </row>
    <row r="683" ht="15.75" customHeight="1">
      <c r="A683" s="458"/>
      <c r="B683" s="458"/>
      <c r="C683" s="458"/>
      <c r="D683" s="458"/>
      <c r="E683" s="458"/>
      <c r="F683" s="458"/>
    </row>
    <row r="684" ht="15.75" customHeight="1">
      <c r="A684" s="458"/>
      <c r="B684" s="458"/>
      <c r="C684" s="458"/>
      <c r="D684" s="458"/>
      <c r="E684" s="458"/>
      <c r="F684" s="458"/>
    </row>
    <row r="685" ht="15.75" customHeight="1">
      <c r="A685" s="458"/>
      <c r="B685" s="458"/>
      <c r="C685" s="458"/>
      <c r="D685" s="458"/>
      <c r="E685" s="458"/>
      <c r="F685" s="458"/>
    </row>
    <row r="686" ht="15.75" customHeight="1">
      <c r="A686" s="458"/>
      <c r="B686" s="458"/>
      <c r="C686" s="458"/>
      <c r="D686" s="458"/>
      <c r="E686" s="458"/>
      <c r="F686" s="458"/>
    </row>
    <row r="687" ht="15.75" customHeight="1">
      <c r="A687" s="458"/>
      <c r="B687" s="458"/>
      <c r="C687" s="458"/>
      <c r="D687" s="458"/>
      <c r="E687" s="458"/>
      <c r="F687" s="458"/>
    </row>
    <row r="688" ht="15.75" customHeight="1">
      <c r="A688" s="458"/>
      <c r="B688" s="458"/>
      <c r="C688" s="458"/>
      <c r="D688" s="458"/>
      <c r="E688" s="458"/>
      <c r="F688" s="458"/>
    </row>
    <row r="689" ht="15.75" customHeight="1">
      <c r="A689" s="458"/>
      <c r="B689" s="458"/>
      <c r="C689" s="458"/>
      <c r="D689" s="458"/>
      <c r="E689" s="458"/>
      <c r="F689" s="458"/>
    </row>
    <row r="690" ht="15.75" customHeight="1">
      <c r="A690" s="458"/>
      <c r="B690" s="458"/>
      <c r="C690" s="458"/>
      <c r="D690" s="458"/>
      <c r="E690" s="458"/>
      <c r="F690" s="458"/>
    </row>
    <row r="691" ht="15.75" customHeight="1">
      <c r="A691" s="458"/>
      <c r="B691" s="458"/>
      <c r="C691" s="458"/>
      <c r="D691" s="458"/>
      <c r="E691" s="458"/>
      <c r="F691" s="458"/>
    </row>
    <row r="692" ht="15.75" customHeight="1">
      <c r="A692" s="458"/>
      <c r="B692" s="458"/>
      <c r="C692" s="458"/>
      <c r="D692" s="458"/>
      <c r="E692" s="458"/>
      <c r="F692" s="458"/>
    </row>
    <row r="693" ht="15.75" customHeight="1">
      <c r="A693" s="458"/>
      <c r="B693" s="458"/>
      <c r="C693" s="458"/>
      <c r="D693" s="458"/>
      <c r="E693" s="458"/>
      <c r="F693" s="458"/>
    </row>
    <row r="694" ht="15.75" customHeight="1">
      <c r="A694" s="458"/>
      <c r="B694" s="458"/>
      <c r="C694" s="458"/>
      <c r="D694" s="458"/>
      <c r="E694" s="458"/>
      <c r="F694" s="458"/>
    </row>
    <row r="695" ht="15.75" customHeight="1">
      <c r="A695" s="458"/>
      <c r="B695" s="458"/>
      <c r="C695" s="458"/>
      <c r="D695" s="458"/>
      <c r="E695" s="458"/>
      <c r="F695" s="458"/>
    </row>
    <row r="696" ht="15.75" customHeight="1">
      <c r="A696" s="458"/>
      <c r="B696" s="458"/>
      <c r="C696" s="458"/>
      <c r="D696" s="458"/>
      <c r="E696" s="458"/>
      <c r="F696" s="458"/>
    </row>
    <row r="697" ht="15.75" customHeight="1">
      <c r="A697" s="458"/>
      <c r="B697" s="458"/>
      <c r="C697" s="458"/>
      <c r="D697" s="458"/>
      <c r="E697" s="458"/>
      <c r="F697" s="458"/>
    </row>
    <row r="698" ht="15.75" customHeight="1">
      <c r="A698" s="458"/>
      <c r="B698" s="458"/>
      <c r="C698" s="458"/>
      <c r="D698" s="458"/>
      <c r="E698" s="458"/>
      <c r="F698" s="458"/>
    </row>
    <row r="699" ht="15.75" customHeight="1">
      <c r="A699" s="458"/>
      <c r="B699" s="458"/>
      <c r="C699" s="458"/>
      <c r="D699" s="458"/>
      <c r="E699" s="458"/>
      <c r="F699" s="458"/>
    </row>
    <row r="700" ht="15.75" customHeight="1">
      <c r="A700" s="458"/>
      <c r="B700" s="458"/>
      <c r="C700" s="458"/>
      <c r="D700" s="458"/>
      <c r="E700" s="458"/>
      <c r="F700" s="458"/>
    </row>
    <row r="701" ht="15.75" customHeight="1">
      <c r="A701" s="458"/>
      <c r="B701" s="458"/>
      <c r="C701" s="458"/>
      <c r="D701" s="458"/>
      <c r="E701" s="458"/>
      <c r="F701" s="458"/>
    </row>
    <row r="702" ht="15.75" customHeight="1">
      <c r="A702" s="458"/>
      <c r="B702" s="458"/>
      <c r="C702" s="458"/>
      <c r="D702" s="458"/>
      <c r="E702" s="458"/>
      <c r="F702" s="458"/>
    </row>
    <row r="703" ht="15.75" customHeight="1">
      <c r="A703" s="458"/>
      <c r="B703" s="458"/>
      <c r="C703" s="458"/>
      <c r="D703" s="458"/>
      <c r="E703" s="458"/>
      <c r="F703" s="458"/>
    </row>
    <row r="704" ht="15.75" customHeight="1">
      <c r="A704" s="458"/>
      <c r="B704" s="458"/>
      <c r="C704" s="458"/>
      <c r="D704" s="458"/>
      <c r="E704" s="458"/>
      <c r="F704" s="458"/>
    </row>
    <row r="705" ht="15.75" customHeight="1">
      <c r="A705" s="458"/>
      <c r="B705" s="458"/>
      <c r="C705" s="458"/>
      <c r="D705" s="458"/>
      <c r="E705" s="458"/>
      <c r="F705" s="458"/>
    </row>
    <row r="706" ht="15.75" customHeight="1">
      <c r="A706" s="458"/>
      <c r="B706" s="458"/>
      <c r="C706" s="458"/>
      <c r="D706" s="458"/>
      <c r="E706" s="458"/>
      <c r="F706" s="458"/>
    </row>
    <row r="707" ht="15.75" customHeight="1">
      <c r="A707" s="458"/>
      <c r="B707" s="458"/>
      <c r="C707" s="458"/>
      <c r="D707" s="458"/>
      <c r="E707" s="458"/>
      <c r="F707" s="458"/>
    </row>
    <row r="708" ht="15.75" customHeight="1">
      <c r="A708" s="458"/>
      <c r="B708" s="458"/>
      <c r="C708" s="458"/>
      <c r="D708" s="458"/>
      <c r="E708" s="458"/>
      <c r="F708" s="458"/>
    </row>
    <row r="709" ht="15.75" customHeight="1">
      <c r="A709" s="458"/>
      <c r="B709" s="458"/>
      <c r="C709" s="458"/>
      <c r="D709" s="458"/>
      <c r="E709" s="458"/>
      <c r="F709" s="458"/>
    </row>
    <row r="710" ht="15.75" customHeight="1">
      <c r="A710" s="458"/>
      <c r="B710" s="458"/>
      <c r="C710" s="458"/>
      <c r="D710" s="458"/>
      <c r="E710" s="458"/>
      <c r="F710" s="458"/>
    </row>
    <row r="711" ht="15.75" customHeight="1">
      <c r="A711" s="458"/>
      <c r="B711" s="458"/>
      <c r="C711" s="458"/>
      <c r="D711" s="458"/>
      <c r="E711" s="458"/>
      <c r="F711" s="458"/>
    </row>
    <row r="712" ht="15.75" customHeight="1">
      <c r="A712" s="458"/>
      <c r="B712" s="458"/>
      <c r="C712" s="458"/>
      <c r="D712" s="458"/>
      <c r="E712" s="458"/>
      <c r="F712" s="458"/>
    </row>
    <row r="713" ht="15.75" customHeight="1">
      <c r="A713" s="458"/>
      <c r="B713" s="458"/>
      <c r="C713" s="458"/>
      <c r="D713" s="458"/>
      <c r="E713" s="458"/>
      <c r="F713" s="458"/>
    </row>
    <row r="714" ht="15.75" customHeight="1">
      <c r="A714" s="458"/>
      <c r="B714" s="458"/>
      <c r="C714" s="458"/>
      <c r="D714" s="458"/>
      <c r="E714" s="458"/>
      <c r="F714" s="458"/>
    </row>
    <row r="715" ht="15.75" customHeight="1">
      <c r="A715" s="458"/>
      <c r="B715" s="458"/>
      <c r="C715" s="458"/>
      <c r="D715" s="458"/>
      <c r="E715" s="458"/>
      <c r="F715" s="458"/>
    </row>
    <row r="716" ht="15.75" customHeight="1">
      <c r="A716" s="458"/>
      <c r="B716" s="458"/>
      <c r="C716" s="458"/>
      <c r="D716" s="458"/>
      <c r="E716" s="458"/>
      <c r="F716" s="458"/>
    </row>
    <row r="717" ht="15.75" customHeight="1">
      <c r="A717" s="458"/>
      <c r="B717" s="458"/>
      <c r="C717" s="458"/>
      <c r="D717" s="458"/>
      <c r="E717" s="458"/>
      <c r="F717" s="458"/>
    </row>
    <row r="718" ht="15.75" customHeight="1">
      <c r="A718" s="458"/>
      <c r="B718" s="458"/>
      <c r="C718" s="458"/>
      <c r="D718" s="458"/>
      <c r="E718" s="458"/>
      <c r="F718" s="458"/>
    </row>
    <row r="719" ht="15.75" customHeight="1">
      <c r="A719" s="458"/>
      <c r="B719" s="458"/>
      <c r="C719" s="458"/>
      <c r="D719" s="458"/>
      <c r="E719" s="458"/>
      <c r="F719" s="458"/>
    </row>
    <row r="720" ht="15.75" customHeight="1">
      <c r="A720" s="458"/>
      <c r="B720" s="458"/>
      <c r="C720" s="458"/>
      <c r="D720" s="458"/>
      <c r="E720" s="458"/>
      <c r="F720" s="458"/>
    </row>
    <row r="721" ht="15.75" customHeight="1">
      <c r="A721" s="458"/>
      <c r="B721" s="458"/>
      <c r="C721" s="458"/>
      <c r="D721" s="458"/>
      <c r="E721" s="458"/>
      <c r="F721" s="458"/>
    </row>
    <row r="722" ht="15.75" customHeight="1">
      <c r="A722" s="458"/>
      <c r="B722" s="458"/>
      <c r="C722" s="458"/>
      <c r="D722" s="458"/>
      <c r="E722" s="458"/>
      <c r="F722" s="458"/>
    </row>
    <row r="723" ht="15.75" customHeight="1">
      <c r="A723" s="458"/>
      <c r="B723" s="458"/>
      <c r="C723" s="458"/>
      <c r="D723" s="458"/>
      <c r="E723" s="458"/>
      <c r="F723" s="458"/>
    </row>
    <row r="724" ht="15.75" customHeight="1">
      <c r="A724" s="458"/>
      <c r="B724" s="458"/>
      <c r="C724" s="458"/>
      <c r="D724" s="458"/>
      <c r="E724" s="458"/>
      <c r="F724" s="458"/>
    </row>
    <row r="725" ht="15.75" customHeight="1">
      <c r="A725" s="458"/>
      <c r="B725" s="458"/>
      <c r="C725" s="458"/>
      <c r="D725" s="458"/>
      <c r="E725" s="458"/>
      <c r="F725" s="458"/>
    </row>
    <row r="726" ht="15.75" customHeight="1">
      <c r="A726" s="458"/>
      <c r="B726" s="458"/>
      <c r="C726" s="458"/>
      <c r="D726" s="458"/>
      <c r="E726" s="458"/>
      <c r="F726" s="458"/>
    </row>
    <row r="727" ht="15.75" customHeight="1">
      <c r="A727" s="458"/>
      <c r="B727" s="458"/>
      <c r="C727" s="458"/>
      <c r="D727" s="458"/>
      <c r="E727" s="458"/>
      <c r="F727" s="458"/>
    </row>
    <row r="728" ht="15.75" customHeight="1">
      <c r="A728" s="458"/>
      <c r="B728" s="458"/>
      <c r="C728" s="458"/>
      <c r="D728" s="458"/>
      <c r="E728" s="458"/>
      <c r="F728" s="458"/>
    </row>
    <row r="729" ht="15.75" customHeight="1">
      <c r="A729" s="458"/>
      <c r="B729" s="458"/>
      <c r="C729" s="458"/>
      <c r="D729" s="458"/>
      <c r="E729" s="458"/>
      <c r="F729" s="458"/>
    </row>
    <row r="730" ht="15.75" customHeight="1">
      <c r="A730" s="458"/>
      <c r="B730" s="458"/>
      <c r="C730" s="458"/>
      <c r="D730" s="458"/>
      <c r="E730" s="458"/>
      <c r="F730" s="458"/>
    </row>
    <row r="731" ht="15.75" customHeight="1">
      <c r="A731" s="458"/>
      <c r="B731" s="458"/>
      <c r="C731" s="458"/>
      <c r="D731" s="458"/>
      <c r="E731" s="458"/>
      <c r="F731" s="458"/>
    </row>
    <row r="732" ht="15.75" customHeight="1">
      <c r="A732" s="458"/>
      <c r="B732" s="458"/>
      <c r="C732" s="458"/>
      <c r="D732" s="458"/>
      <c r="E732" s="458"/>
      <c r="F732" s="458"/>
    </row>
    <row r="733" ht="15.75" customHeight="1">
      <c r="A733" s="458"/>
      <c r="B733" s="458"/>
      <c r="C733" s="458"/>
      <c r="D733" s="458"/>
      <c r="E733" s="458"/>
      <c r="F733" s="458"/>
    </row>
    <row r="734" ht="15.75" customHeight="1">
      <c r="A734" s="458"/>
      <c r="B734" s="458"/>
      <c r="C734" s="458"/>
      <c r="D734" s="458"/>
      <c r="E734" s="458"/>
      <c r="F734" s="458"/>
    </row>
    <row r="735" ht="15.75" customHeight="1">
      <c r="A735" s="458"/>
      <c r="B735" s="458"/>
      <c r="C735" s="458"/>
      <c r="D735" s="458"/>
      <c r="E735" s="458"/>
      <c r="F735" s="458"/>
    </row>
    <row r="736" ht="15.75" customHeight="1">
      <c r="A736" s="458"/>
      <c r="B736" s="458"/>
      <c r="C736" s="458"/>
      <c r="D736" s="458"/>
      <c r="E736" s="458"/>
      <c r="F736" s="458"/>
    </row>
    <row r="737" ht="15.75" customHeight="1">
      <c r="A737" s="458"/>
      <c r="B737" s="458"/>
      <c r="C737" s="458"/>
      <c r="D737" s="458"/>
      <c r="E737" s="458"/>
      <c r="F737" s="458"/>
    </row>
    <row r="738" ht="15.75" customHeight="1">
      <c r="A738" s="458"/>
      <c r="B738" s="458"/>
      <c r="C738" s="458"/>
      <c r="D738" s="458"/>
      <c r="E738" s="458"/>
      <c r="F738" s="458"/>
    </row>
    <row r="739" ht="15.75" customHeight="1">
      <c r="A739" s="458"/>
      <c r="B739" s="458"/>
      <c r="C739" s="458"/>
      <c r="D739" s="458"/>
      <c r="E739" s="458"/>
      <c r="F739" s="458"/>
    </row>
    <row r="740" ht="15.75" customHeight="1">
      <c r="A740" s="458"/>
      <c r="B740" s="458"/>
      <c r="C740" s="458"/>
      <c r="D740" s="458"/>
      <c r="E740" s="458"/>
      <c r="F740" s="458"/>
    </row>
    <row r="741" ht="15.75" customHeight="1">
      <c r="A741" s="458"/>
      <c r="B741" s="458"/>
      <c r="C741" s="458"/>
      <c r="D741" s="458"/>
      <c r="E741" s="458"/>
      <c r="F741" s="458"/>
    </row>
    <row r="742" ht="15.75" customHeight="1">
      <c r="A742" s="458"/>
      <c r="B742" s="458"/>
      <c r="C742" s="458"/>
      <c r="D742" s="458"/>
      <c r="E742" s="458"/>
      <c r="F742" s="458"/>
    </row>
    <row r="743" ht="15.75" customHeight="1">
      <c r="A743" s="458"/>
      <c r="B743" s="458"/>
      <c r="C743" s="458"/>
      <c r="D743" s="458"/>
      <c r="E743" s="458"/>
      <c r="F743" s="458"/>
    </row>
    <row r="744" ht="15.75" customHeight="1">
      <c r="A744" s="458"/>
      <c r="B744" s="458"/>
      <c r="C744" s="458"/>
      <c r="D744" s="458"/>
      <c r="E744" s="458"/>
      <c r="F744" s="458"/>
    </row>
    <row r="745" ht="15.75" customHeight="1">
      <c r="A745" s="458"/>
      <c r="B745" s="458"/>
      <c r="C745" s="458"/>
      <c r="D745" s="458"/>
      <c r="E745" s="458"/>
      <c r="F745" s="458"/>
    </row>
    <row r="746" ht="15.75" customHeight="1">
      <c r="A746" s="458"/>
      <c r="B746" s="458"/>
      <c r="C746" s="458"/>
      <c r="D746" s="458"/>
      <c r="E746" s="458"/>
      <c r="F746" s="458"/>
    </row>
    <row r="747" ht="15.75" customHeight="1">
      <c r="A747" s="458"/>
      <c r="B747" s="458"/>
      <c r="C747" s="458"/>
      <c r="D747" s="458"/>
      <c r="E747" s="458"/>
      <c r="F747" s="458"/>
    </row>
    <row r="748" ht="15.75" customHeight="1">
      <c r="A748" s="458"/>
      <c r="B748" s="458"/>
      <c r="C748" s="458"/>
      <c r="D748" s="458"/>
      <c r="E748" s="458"/>
      <c r="F748" s="458"/>
    </row>
    <row r="749" ht="15.75" customHeight="1">
      <c r="A749" s="458"/>
      <c r="B749" s="458"/>
      <c r="C749" s="458"/>
      <c r="D749" s="458"/>
      <c r="E749" s="458"/>
      <c r="F749" s="458"/>
    </row>
    <row r="750" ht="15.75" customHeight="1">
      <c r="A750" s="458"/>
      <c r="B750" s="458"/>
      <c r="C750" s="458"/>
      <c r="D750" s="458"/>
      <c r="E750" s="458"/>
      <c r="F750" s="458"/>
    </row>
    <row r="751" ht="15.75" customHeight="1">
      <c r="A751" s="458"/>
      <c r="B751" s="458"/>
      <c r="C751" s="458"/>
      <c r="D751" s="458"/>
      <c r="E751" s="458"/>
      <c r="F751" s="458"/>
    </row>
    <row r="752" ht="15.75" customHeight="1">
      <c r="A752" s="458"/>
      <c r="B752" s="458"/>
      <c r="C752" s="458"/>
      <c r="D752" s="458"/>
      <c r="E752" s="458"/>
      <c r="F752" s="458"/>
    </row>
    <row r="753" ht="15.75" customHeight="1">
      <c r="A753" s="458"/>
      <c r="B753" s="458"/>
      <c r="C753" s="458"/>
      <c r="D753" s="458"/>
      <c r="E753" s="458"/>
      <c r="F753" s="458"/>
    </row>
    <row r="754" ht="15.75" customHeight="1">
      <c r="A754" s="458"/>
      <c r="B754" s="458"/>
      <c r="C754" s="458"/>
      <c r="D754" s="458"/>
      <c r="E754" s="458"/>
      <c r="F754" s="458"/>
    </row>
    <row r="755" ht="15.75" customHeight="1">
      <c r="A755" s="458"/>
      <c r="B755" s="458"/>
      <c r="C755" s="458"/>
      <c r="D755" s="458"/>
      <c r="E755" s="458"/>
      <c r="F755" s="458"/>
    </row>
    <row r="756" ht="15.75" customHeight="1">
      <c r="A756" s="458"/>
      <c r="B756" s="458"/>
      <c r="C756" s="458"/>
      <c r="D756" s="458"/>
      <c r="E756" s="458"/>
      <c r="F756" s="458"/>
    </row>
    <row r="757" ht="15.75" customHeight="1">
      <c r="A757" s="458"/>
      <c r="B757" s="458"/>
      <c r="C757" s="458"/>
      <c r="D757" s="458"/>
      <c r="E757" s="458"/>
      <c r="F757" s="458"/>
    </row>
    <row r="758" ht="15.75" customHeight="1">
      <c r="A758" s="458"/>
      <c r="B758" s="458"/>
      <c r="C758" s="458"/>
      <c r="D758" s="458"/>
      <c r="E758" s="458"/>
      <c r="F758" s="458"/>
    </row>
    <row r="759" ht="15.75" customHeight="1">
      <c r="A759" s="458"/>
      <c r="B759" s="458"/>
      <c r="C759" s="458"/>
      <c r="D759" s="458"/>
      <c r="E759" s="458"/>
      <c r="F759" s="458"/>
    </row>
    <row r="760" ht="15.75" customHeight="1">
      <c r="A760" s="458"/>
      <c r="B760" s="458"/>
      <c r="C760" s="458"/>
      <c r="D760" s="458"/>
      <c r="E760" s="458"/>
      <c r="F760" s="458"/>
    </row>
    <row r="761" ht="15.75" customHeight="1">
      <c r="A761" s="458"/>
      <c r="B761" s="458"/>
      <c r="C761" s="458"/>
      <c r="D761" s="458"/>
      <c r="E761" s="458"/>
      <c r="F761" s="458"/>
    </row>
    <row r="762" ht="15.75" customHeight="1">
      <c r="A762" s="458"/>
      <c r="B762" s="458"/>
      <c r="C762" s="458"/>
      <c r="D762" s="458"/>
      <c r="E762" s="458"/>
      <c r="F762" s="458"/>
    </row>
    <row r="763" ht="15.75" customHeight="1">
      <c r="A763" s="458"/>
      <c r="B763" s="458"/>
      <c r="C763" s="458"/>
      <c r="D763" s="458"/>
      <c r="E763" s="458"/>
      <c r="F763" s="458"/>
    </row>
    <row r="764" ht="15.75" customHeight="1">
      <c r="A764" s="458"/>
      <c r="B764" s="458"/>
      <c r="C764" s="458"/>
      <c r="D764" s="458"/>
      <c r="E764" s="458"/>
      <c r="F764" s="458"/>
    </row>
    <row r="765" ht="15.75" customHeight="1">
      <c r="A765" s="458"/>
      <c r="B765" s="458"/>
      <c r="C765" s="458"/>
      <c r="D765" s="458"/>
      <c r="E765" s="458"/>
      <c r="F765" s="458"/>
    </row>
    <row r="766" ht="15.75" customHeight="1">
      <c r="A766" s="458"/>
      <c r="B766" s="458"/>
      <c r="C766" s="458"/>
      <c r="D766" s="458"/>
      <c r="E766" s="458"/>
      <c r="F766" s="458"/>
    </row>
    <row r="767" ht="15.75" customHeight="1">
      <c r="A767" s="458"/>
      <c r="B767" s="458"/>
      <c r="C767" s="458"/>
      <c r="D767" s="458"/>
      <c r="E767" s="458"/>
      <c r="F767" s="458"/>
    </row>
    <row r="768" ht="15.75" customHeight="1">
      <c r="A768" s="458"/>
      <c r="B768" s="458"/>
      <c r="C768" s="458"/>
      <c r="D768" s="458"/>
      <c r="E768" s="458"/>
      <c r="F768" s="458"/>
    </row>
    <row r="769" ht="15.75" customHeight="1">
      <c r="A769" s="458"/>
      <c r="B769" s="458"/>
      <c r="C769" s="458"/>
      <c r="D769" s="458"/>
      <c r="E769" s="458"/>
      <c r="F769" s="458"/>
    </row>
    <row r="770" ht="15.75" customHeight="1">
      <c r="A770" s="458"/>
      <c r="B770" s="458"/>
      <c r="C770" s="458"/>
      <c r="D770" s="458"/>
      <c r="E770" s="458"/>
      <c r="F770" s="458"/>
    </row>
    <row r="771" ht="15.75" customHeight="1">
      <c r="A771" s="458"/>
      <c r="B771" s="458"/>
      <c r="C771" s="458"/>
      <c r="D771" s="458"/>
      <c r="E771" s="458"/>
      <c r="F771" s="458"/>
    </row>
    <row r="772" ht="15.75" customHeight="1">
      <c r="A772" s="458"/>
      <c r="B772" s="458"/>
      <c r="C772" s="458"/>
      <c r="D772" s="458"/>
      <c r="E772" s="458"/>
      <c r="F772" s="458"/>
    </row>
    <row r="773" ht="15.75" customHeight="1">
      <c r="A773" s="458"/>
      <c r="B773" s="458"/>
      <c r="C773" s="458"/>
      <c r="D773" s="458"/>
      <c r="E773" s="458"/>
      <c r="F773" s="458"/>
    </row>
    <row r="774" ht="15.75" customHeight="1">
      <c r="A774" s="458"/>
      <c r="B774" s="458"/>
      <c r="C774" s="458"/>
      <c r="D774" s="458"/>
      <c r="E774" s="458"/>
      <c r="F774" s="458"/>
    </row>
    <row r="775" ht="15.75" customHeight="1">
      <c r="A775" s="458"/>
      <c r="B775" s="458"/>
      <c r="C775" s="458"/>
      <c r="D775" s="458"/>
      <c r="E775" s="458"/>
      <c r="F775" s="458"/>
    </row>
    <row r="776" ht="15.75" customHeight="1">
      <c r="A776" s="458"/>
      <c r="B776" s="458"/>
      <c r="C776" s="458"/>
      <c r="D776" s="458"/>
      <c r="E776" s="458"/>
      <c r="F776" s="458"/>
    </row>
    <row r="777" ht="15.75" customHeight="1">
      <c r="A777" s="458"/>
      <c r="B777" s="458"/>
      <c r="C777" s="458"/>
      <c r="D777" s="458"/>
      <c r="E777" s="458"/>
      <c r="F777" s="458"/>
    </row>
    <row r="778" ht="15.75" customHeight="1">
      <c r="A778" s="458"/>
      <c r="B778" s="458"/>
      <c r="C778" s="458"/>
      <c r="D778" s="458"/>
      <c r="E778" s="458"/>
      <c r="F778" s="458"/>
    </row>
    <row r="779" ht="15.75" customHeight="1">
      <c r="A779" s="458"/>
      <c r="B779" s="458"/>
      <c r="C779" s="458"/>
      <c r="D779" s="458"/>
      <c r="E779" s="458"/>
      <c r="F779" s="458"/>
    </row>
    <row r="780" ht="15.75" customHeight="1">
      <c r="A780" s="458"/>
      <c r="B780" s="458"/>
      <c r="C780" s="458"/>
      <c r="D780" s="458"/>
      <c r="E780" s="458"/>
      <c r="F780" s="458"/>
    </row>
    <row r="781" ht="15.75" customHeight="1">
      <c r="A781" s="458"/>
      <c r="B781" s="458"/>
      <c r="C781" s="458"/>
      <c r="D781" s="458"/>
      <c r="E781" s="458"/>
      <c r="F781" s="458"/>
    </row>
    <row r="782" ht="15.75" customHeight="1">
      <c r="A782" s="458"/>
      <c r="B782" s="458"/>
      <c r="C782" s="458"/>
      <c r="D782" s="458"/>
      <c r="E782" s="458"/>
      <c r="F782" s="458"/>
    </row>
    <row r="783" ht="15.75" customHeight="1">
      <c r="A783" s="458"/>
      <c r="B783" s="458"/>
      <c r="C783" s="458"/>
      <c r="D783" s="458"/>
      <c r="E783" s="458"/>
      <c r="F783" s="458"/>
    </row>
    <row r="784" ht="15.75" customHeight="1">
      <c r="A784" s="458"/>
      <c r="B784" s="458"/>
      <c r="C784" s="458"/>
      <c r="D784" s="458"/>
      <c r="E784" s="458"/>
      <c r="F784" s="458"/>
    </row>
    <row r="785" ht="15.75" customHeight="1">
      <c r="A785" s="458"/>
      <c r="B785" s="458"/>
      <c r="C785" s="458"/>
      <c r="D785" s="458"/>
      <c r="E785" s="458"/>
      <c r="F785" s="458"/>
    </row>
    <row r="786" ht="15.75" customHeight="1">
      <c r="A786" s="458"/>
      <c r="B786" s="458"/>
      <c r="C786" s="458"/>
      <c r="D786" s="458"/>
      <c r="E786" s="458"/>
      <c r="F786" s="458"/>
    </row>
    <row r="787" ht="15.75" customHeight="1">
      <c r="A787" s="458"/>
      <c r="B787" s="458"/>
      <c r="C787" s="458"/>
      <c r="D787" s="458"/>
      <c r="E787" s="458"/>
      <c r="F787" s="458"/>
    </row>
    <row r="788" ht="15.75" customHeight="1">
      <c r="A788" s="458"/>
      <c r="B788" s="458"/>
      <c r="C788" s="458"/>
      <c r="D788" s="458"/>
      <c r="E788" s="458"/>
      <c r="F788" s="458"/>
    </row>
    <row r="789" ht="15.75" customHeight="1">
      <c r="A789" s="458"/>
      <c r="B789" s="458"/>
      <c r="C789" s="458"/>
      <c r="D789" s="458"/>
      <c r="E789" s="458"/>
      <c r="F789" s="458"/>
    </row>
    <row r="790" ht="15.75" customHeight="1">
      <c r="A790" s="458"/>
      <c r="B790" s="458"/>
      <c r="C790" s="458"/>
      <c r="D790" s="458"/>
      <c r="E790" s="458"/>
      <c r="F790" s="458"/>
    </row>
    <row r="791" ht="15.75" customHeight="1">
      <c r="A791" s="458"/>
      <c r="B791" s="458"/>
      <c r="C791" s="458"/>
      <c r="D791" s="458"/>
      <c r="E791" s="458"/>
      <c r="F791" s="458"/>
    </row>
    <row r="792" ht="15.75" customHeight="1">
      <c r="A792" s="458"/>
      <c r="B792" s="458"/>
      <c r="C792" s="458"/>
      <c r="D792" s="458"/>
      <c r="E792" s="458"/>
      <c r="F792" s="458"/>
    </row>
    <row r="793" ht="15.75" customHeight="1">
      <c r="A793" s="458"/>
      <c r="B793" s="458"/>
      <c r="C793" s="458"/>
      <c r="D793" s="458"/>
      <c r="E793" s="458"/>
      <c r="F793" s="458"/>
    </row>
    <row r="794" ht="15.75" customHeight="1">
      <c r="A794" s="458"/>
      <c r="B794" s="458"/>
      <c r="C794" s="458"/>
      <c r="D794" s="458"/>
      <c r="E794" s="458"/>
      <c r="F794" s="458"/>
    </row>
    <row r="795" ht="15.75" customHeight="1">
      <c r="A795" s="458"/>
      <c r="B795" s="458"/>
      <c r="C795" s="458"/>
      <c r="D795" s="458"/>
      <c r="E795" s="458"/>
      <c r="F795" s="458"/>
    </row>
    <row r="796" ht="15.75" customHeight="1">
      <c r="A796" s="458"/>
      <c r="B796" s="458"/>
      <c r="C796" s="458"/>
      <c r="D796" s="458"/>
      <c r="E796" s="458"/>
      <c r="F796" s="458"/>
    </row>
    <row r="797" ht="15.75" customHeight="1">
      <c r="A797" s="458"/>
      <c r="B797" s="458"/>
      <c r="C797" s="458"/>
      <c r="D797" s="458"/>
      <c r="E797" s="458"/>
      <c r="F797" s="458"/>
    </row>
    <row r="798" ht="15.75" customHeight="1">
      <c r="A798" s="458"/>
      <c r="B798" s="458"/>
      <c r="C798" s="458"/>
      <c r="D798" s="458"/>
      <c r="E798" s="458"/>
      <c r="F798" s="458"/>
    </row>
    <row r="799" ht="15.75" customHeight="1">
      <c r="A799" s="458"/>
      <c r="B799" s="458"/>
      <c r="C799" s="458"/>
      <c r="D799" s="458"/>
      <c r="E799" s="458"/>
      <c r="F799" s="458"/>
    </row>
    <row r="800" ht="15.75" customHeight="1">
      <c r="A800" s="458"/>
      <c r="B800" s="458"/>
      <c r="C800" s="458"/>
      <c r="D800" s="458"/>
      <c r="E800" s="458"/>
      <c r="F800" s="458"/>
    </row>
    <row r="801" ht="15.75" customHeight="1">
      <c r="A801" s="458"/>
      <c r="B801" s="458"/>
      <c r="C801" s="458"/>
      <c r="D801" s="458"/>
      <c r="E801" s="458"/>
      <c r="F801" s="458"/>
    </row>
    <row r="802" ht="15.75" customHeight="1">
      <c r="A802" s="458"/>
      <c r="B802" s="458"/>
      <c r="C802" s="458"/>
      <c r="D802" s="458"/>
      <c r="E802" s="458"/>
      <c r="F802" s="458"/>
    </row>
    <row r="803" ht="15.75" customHeight="1">
      <c r="A803" s="458"/>
      <c r="B803" s="458"/>
      <c r="C803" s="458"/>
      <c r="D803" s="458"/>
      <c r="E803" s="458"/>
      <c r="F803" s="458"/>
    </row>
    <row r="804" ht="15.75" customHeight="1">
      <c r="A804" s="458"/>
      <c r="B804" s="458"/>
      <c r="C804" s="458"/>
      <c r="D804" s="458"/>
      <c r="E804" s="458"/>
      <c r="F804" s="458"/>
    </row>
    <row r="805" ht="15.75" customHeight="1">
      <c r="A805" s="458"/>
      <c r="B805" s="458"/>
      <c r="C805" s="458"/>
      <c r="D805" s="458"/>
      <c r="E805" s="458"/>
      <c r="F805" s="458"/>
    </row>
    <row r="806" ht="15.75" customHeight="1">
      <c r="A806" s="458"/>
      <c r="B806" s="458"/>
      <c r="C806" s="458"/>
      <c r="D806" s="458"/>
      <c r="E806" s="458"/>
      <c r="F806" s="458"/>
    </row>
    <row r="807" ht="15.75" customHeight="1">
      <c r="A807" s="458"/>
      <c r="B807" s="458"/>
      <c r="C807" s="458"/>
      <c r="D807" s="458"/>
      <c r="E807" s="458"/>
      <c r="F807" s="458"/>
    </row>
    <row r="808" ht="15.75" customHeight="1">
      <c r="A808" s="458"/>
      <c r="B808" s="458"/>
      <c r="C808" s="458"/>
      <c r="D808" s="458"/>
      <c r="E808" s="458"/>
      <c r="F808" s="458"/>
    </row>
    <row r="809" ht="15.75" customHeight="1">
      <c r="A809" s="458"/>
      <c r="B809" s="458"/>
      <c r="C809" s="458"/>
      <c r="D809" s="458"/>
      <c r="E809" s="458"/>
      <c r="F809" s="458"/>
    </row>
    <row r="810" ht="15.75" customHeight="1">
      <c r="A810" s="458"/>
      <c r="B810" s="458"/>
      <c r="C810" s="458"/>
      <c r="D810" s="458"/>
      <c r="E810" s="458"/>
      <c r="F810" s="458"/>
    </row>
    <row r="811" ht="15.75" customHeight="1">
      <c r="A811" s="458"/>
      <c r="B811" s="458"/>
      <c r="C811" s="458"/>
      <c r="D811" s="458"/>
      <c r="E811" s="458"/>
      <c r="F811" s="458"/>
    </row>
    <row r="812" ht="15.75" customHeight="1">
      <c r="A812" s="458"/>
      <c r="B812" s="458"/>
      <c r="C812" s="458"/>
      <c r="D812" s="458"/>
      <c r="E812" s="458"/>
      <c r="F812" s="458"/>
    </row>
    <row r="813" ht="15.75" customHeight="1">
      <c r="A813" s="458"/>
      <c r="B813" s="458"/>
      <c r="C813" s="458"/>
      <c r="D813" s="458"/>
      <c r="E813" s="458"/>
      <c r="F813" s="458"/>
    </row>
    <row r="814" ht="15.75" customHeight="1">
      <c r="A814" s="458"/>
      <c r="B814" s="458"/>
      <c r="C814" s="458"/>
      <c r="D814" s="458"/>
      <c r="E814" s="458"/>
      <c r="F814" s="458"/>
    </row>
    <row r="815" ht="15.75" customHeight="1">
      <c r="A815" s="458"/>
      <c r="B815" s="458"/>
      <c r="C815" s="458"/>
      <c r="D815" s="458"/>
      <c r="E815" s="458"/>
      <c r="F815" s="458"/>
    </row>
    <row r="816" ht="15.75" customHeight="1">
      <c r="A816" s="458"/>
      <c r="B816" s="458"/>
      <c r="C816" s="458"/>
      <c r="D816" s="458"/>
      <c r="E816" s="458"/>
      <c r="F816" s="458"/>
    </row>
    <row r="817" ht="15.75" customHeight="1">
      <c r="A817" s="458"/>
      <c r="B817" s="458"/>
      <c r="C817" s="458"/>
      <c r="D817" s="458"/>
      <c r="E817" s="458"/>
      <c r="F817" s="458"/>
    </row>
    <row r="818" ht="15.75" customHeight="1">
      <c r="A818" s="458"/>
      <c r="B818" s="458"/>
      <c r="C818" s="458"/>
      <c r="D818" s="458"/>
      <c r="E818" s="458"/>
      <c r="F818" s="458"/>
    </row>
    <row r="819" ht="15.75" customHeight="1">
      <c r="A819" s="458"/>
      <c r="B819" s="458"/>
      <c r="C819" s="458"/>
      <c r="D819" s="458"/>
      <c r="E819" s="458"/>
      <c r="F819" s="458"/>
    </row>
    <row r="820" ht="15.75" customHeight="1">
      <c r="A820" s="458"/>
      <c r="B820" s="458"/>
      <c r="C820" s="458"/>
      <c r="D820" s="458"/>
      <c r="E820" s="458"/>
      <c r="F820" s="458"/>
    </row>
    <row r="821" ht="15.75" customHeight="1">
      <c r="A821" s="458"/>
      <c r="B821" s="458"/>
      <c r="C821" s="458"/>
      <c r="D821" s="458"/>
      <c r="E821" s="458"/>
      <c r="F821" s="458"/>
    </row>
    <row r="822" ht="15.75" customHeight="1">
      <c r="A822" s="458"/>
      <c r="B822" s="458"/>
      <c r="C822" s="458"/>
      <c r="D822" s="458"/>
      <c r="E822" s="458"/>
      <c r="F822" s="458"/>
    </row>
    <row r="823" ht="15.75" customHeight="1">
      <c r="A823" s="458"/>
      <c r="B823" s="458"/>
      <c r="C823" s="458"/>
      <c r="D823" s="458"/>
      <c r="E823" s="458"/>
      <c r="F823" s="458"/>
    </row>
    <row r="824" ht="15.75" customHeight="1">
      <c r="A824" s="458"/>
      <c r="B824" s="458"/>
      <c r="C824" s="458"/>
      <c r="D824" s="458"/>
      <c r="E824" s="458"/>
      <c r="F824" s="458"/>
    </row>
    <row r="825" ht="15.75" customHeight="1">
      <c r="A825" s="458"/>
      <c r="B825" s="458"/>
      <c r="C825" s="458"/>
      <c r="D825" s="458"/>
      <c r="E825" s="458"/>
      <c r="F825" s="458"/>
    </row>
    <row r="826" ht="15.75" customHeight="1">
      <c r="A826" s="458"/>
      <c r="B826" s="458"/>
      <c r="C826" s="458"/>
      <c r="D826" s="458"/>
      <c r="E826" s="458"/>
      <c r="F826" s="458"/>
    </row>
    <row r="827" ht="15.75" customHeight="1">
      <c r="A827" s="458"/>
      <c r="B827" s="458"/>
      <c r="C827" s="458"/>
      <c r="D827" s="458"/>
      <c r="E827" s="458"/>
      <c r="F827" s="458"/>
    </row>
    <row r="828" ht="15.75" customHeight="1">
      <c r="A828" s="458"/>
      <c r="B828" s="458"/>
      <c r="C828" s="458"/>
      <c r="D828" s="458"/>
      <c r="E828" s="458"/>
      <c r="F828" s="458"/>
    </row>
    <row r="829" ht="15.75" customHeight="1">
      <c r="A829" s="458"/>
      <c r="B829" s="458"/>
      <c r="C829" s="458"/>
      <c r="D829" s="458"/>
      <c r="E829" s="458"/>
      <c r="F829" s="458"/>
    </row>
    <row r="830" ht="15.75" customHeight="1">
      <c r="A830" s="458"/>
      <c r="B830" s="458"/>
      <c r="C830" s="458"/>
      <c r="D830" s="458"/>
      <c r="E830" s="458"/>
      <c r="F830" s="458"/>
    </row>
    <row r="831" ht="15.75" customHeight="1">
      <c r="A831" s="458"/>
      <c r="B831" s="458"/>
      <c r="C831" s="458"/>
      <c r="D831" s="458"/>
      <c r="E831" s="458"/>
      <c r="F831" s="458"/>
    </row>
    <row r="832" ht="15.75" customHeight="1">
      <c r="A832" s="458"/>
      <c r="B832" s="458"/>
      <c r="C832" s="458"/>
      <c r="D832" s="458"/>
      <c r="E832" s="458"/>
      <c r="F832" s="458"/>
    </row>
    <row r="833" ht="15.75" customHeight="1">
      <c r="A833" s="458"/>
      <c r="B833" s="458"/>
      <c r="C833" s="458"/>
      <c r="D833" s="458"/>
      <c r="E833" s="458"/>
      <c r="F833" s="458"/>
    </row>
    <row r="834" ht="15.75" customHeight="1">
      <c r="A834" s="458"/>
      <c r="B834" s="458"/>
      <c r="C834" s="458"/>
      <c r="D834" s="458"/>
      <c r="E834" s="458"/>
      <c r="F834" s="458"/>
    </row>
    <row r="835" ht="15.75" customHeight="1">
      <c r="A835" s="458"/>
      <c r="B835" s="458"/>
      <c r="C835" s="458"/>
      <c r="D835" s="458"/>
      <c r="E835" s="458"/>
      <c r="F835" s="458"/>
    </row>
    <row r="836" ht="15.75" customHeight="1">
      <c r="A836" s="458"/>
      <c r="B836" s="458"/>
      <c r="C836" s="458"/>
      <c r="D836" s="458"/>
      <c r="E836" s="458"/>
      <c r="F836" s="458"/>
    </row>
    <row r="837" ht="15.75" customHeight="1">
      <c r="A837" s="458"/>
      <c r="B837" s="458"/>
      <c r="C837" s="458"/>
      <c r="D837" s="458"/>
      <c r="E837" s="458"/>
      <c r="F837" s="458"/>
    </row>
    <row r="838" ht="15.75" customHeight="1">
      <c r="A838" s="458"/>
      <c r="B838" s="458"/>
      <c r="C838" s="458"/>
      <c r="D838" s="458"/>
      <c r="E838" s="458"/>
      <c r="F838" s="458"/>
    </row>
    <row r="839" ht="15.75" customHeight="1">
      <c r="A839" s="458"/>
      <c r="B839" s="458"/>
      <c r="C839" s="458"/>
      <c r="D839" s="458"/>
      <c r="E839" s="458"/>
      <c r="F839" s="458"/>
    </row>
    <row r="840" ht="15.75" customHeight="1">
      <c r="A840" s="458"/>
      <c r="B840" s="458"/>
      <c r="C840" s="458"/>
      <c r="D840" s="458"/>
      <c r="E840" s="458"/>
      <c r="F840" s="458"/>
    </row>
    <row r="841" ht="15.75" customHeight="1">
      <c r="A841" s="458"/>
      <c r="B841" s="458"/>
      <c r="C841" s="458"/>
      <c r="D841" s="458"/>
      <c r="E841" s="458"/>
      <c r="F841" s="458"/>
    </row>
    <row r="842" ht="15.75" customHeight="1">
      <c r="A842" s="458"/>
      <c r="B842" s="458"/>
      <c r="C842" s="458"/>
      <c r="D842" s="458"/>
      <c r="E842" s="458"/>
      <c r="F842" s="458"/>
    </row>
    <row r="843" ht="15.75" customHeight="1">
      <c r="A843" s="458"/>
      <c r="B843" s="458"/>
      <c r="C843" s="458"/>
      <c r="D843" s="458"/>
      <c r="E843" s="458"/>
      <c r="F843" s="458"/>
    </row>
    <row r="844" ht="15.75" customHeight="1">
      <c r="A844" s="458"/>
      <c r="B844" s="458"/>
      <c r="C844" s="458"/>
      <c r="D844" s="458"/>
      <c r="E844" s="458"/>
      <c r="F844" s="458"/>
    </row>
    <row r="845" ht="15.75" customHeight="1">
      <c r="A845" s="458"/>
      <c r="B845" s="458"/>
      <c r="C845" s="458"/>
      <c r="D845" s="458"/>
      <c r="E845" s="458"/>
      <c r="F845" s="458"/>
    </row>
    <row r="846" ht="15.75" customHeight="1">
      <c r="A846" s="458"/>
      <c r="B846" s="458"/>
      <c r="C846" s="458"/>
      <c r="D846" s="458"/>
      <c r="E846" s="458"/>
      <c r="F846" s="458"/>
    </row>
    <row r="847" ht="15.75" customHeight="1">
      <c r="A847" s="458"/>
      <c r="B847" s="458"/>
      <c r="C847" s="458"/>
      <c r="D847" s="458"/>
      <c r="E847" s="458"/>
      <c r="F847" s="458"/>
    </row>
    <row r="848" ht="15.75" customHeight="1">
      <c r="A848" s="458"/>
      <c r="B848" s="458"/>
      <c r="C848" s="458"/>
      <c r="D848" s="458"/>
      <c r="E848" s="458"/>
      <c r="F848" s="458"/>
    </row>
    <row r="849" ht="15.75" customHeight="1">
      <c r="A849" s="458"/>
      <c r="B849" s="458"/>
      <c r="C849" s="458"/>
      <c r="D849" s="458"/>
      <c r="E849" s="458"/>
      <c r="F849" s="458"/>
    </row>
    <row r="850" ht="15.75" customHeight="1">
      <c r="A850" s="458"/>
      <c r="B850" s="458"/>
      <c r="C850" s="458"/>
      <c r="D850" s="458"/>
      <c r="E850" s="458"/>
      <c r="F850" s="458"/>
    </row>
    <row r="851" ht="15.75" customHeight="1">
      <c r="A851" s="458"/>
      <c r="B851" s="458"/>
      <c r="C851" s="458"/>
      <c r="D851" s="458"/>
      <c r="E851" s="458"/>
      <c r="F851" s="458"/>
    </row>
    <row r="852" ht="15.75" customHeight="1">
      <c r="A852" s="458"/>
      <c r="B852" s="458"/>
      <c r="C852" s="458"/>
      <c r="D852" s="458"/>
      <c r="E852" s="458"/>
      <c r="F852" s="458"/>
    </row>
    <row r="853" ht="15.75" customHeight="1">
      <c r="A853" s="458"/>
      <c r="B853" s="458"/>
      <c r="C853" s="458"/>
      <c r="D853" s="458"/>
      <c r="E853" s="458"/>
      <c r="F853" s="458"/>
    </row>
    <row r="854" ht="15.75" customHeight="1">
      <c r="A854" s="458"/>
      <c r="B854" s="458"/>
      <c r="C854" s="458"/>
      <c r="D854" s="458"/>
      <c r="E854" s="458"/>
      <c r="F854" s="458"/>
    </row>
    <row r="855" ht="15.75" customHeight="1">
      <c r="A855" s="458"/>
      <c r="B855" s="458"/>
      <c r="C855" s="458"/>
      <c r="D855" s="458"/>
      <c r="E855" s="458"/>
      <c r="F855" s="458"/>
    </row>
    <row r="856" ht="15.75" customHeight="1">
      <c r="A856" s="458"/>
      <c r="B856" s="458"/>
      <c r="C856" s="458"/>
      <c r="D856" s="458"/>
      <c r="E856" s="458"/>
      <c r="F856" s="458"/>
    </row>
    <row r="857" ht="15.75" customHeight="1">
      <c r="A857" s="458"/>
      <c r="B857" s="458"/>
      <c r="C857" s="458"/>
      <c r="D857" s="458"/>
      <c r="E857" s="458"/>
      <c r="F857" s="458"/>
    </row>
    <row r="858" ht="15.75" customHeight="1">
      <c r="A858" s="458"/>
      <c r="B858" s="458"/>
      <c r="C858" s="458"/>
      <c r="D858" s="458"/>
      <c r="E858" s="458"/>
      <c r="F858" s="458"/>
    </row>
    <row r="859" ht="15.75" customHeight="1">
      <c r="A859" s="458"/>
      <c r="B859" s="458"/>
      <c r="C859" s="458"/>
      <c r="D859" s="458"/>
      <c r="E859" s="458"/>
      <c r="F859" s="458"/>
    </row>
    <row r="860" ht="15.75" customHeight="1">
      <c r="A860" s="458"/>
      <c r="B860" s="458"/>
      <c r="C860" s="458"/>
      <c r="D860" s="458"/>
      <c r="E860" s="458"/>
      <c r="F860" s="458"/>
    </row>
    <row r="861" ht="15.75" customHeight="1">
      <c r="A861" s="458"/>
      <c r="B861" s="458"/>
      <c r="C861" s="458"/>
      <c r="D861" s="458"/>
      <c r="E861" s="458"/>
      <c r="F861" s="458"/>
    </row>
    <row r="862" ht="15.75" customHeight="1">
      <c r="A862" s="458"/>
      <c r="B862" s="458"/>
      <c r="C862" s="458"/>
      <c r="D862" s="458"/>
      <c r="E862" s="458"/>
      <c r="F862" s="458"/>
    </row>
    <row r="863" ht="15.75" customHeight="1">
      <c r="A863" s="458"/>
      <c r="B863" s="458"/>
      <c r="C863" s="458"/>
      <c r="D863" s="458"/>
      <c r="E863" s="458"/>
      <c r="F863" s="458"/>
    </row>
    <row r="864" ht="15.75" customHeight="1">
      <c r="A864" s="458"/>
      <c r="B864" s="458"/>
      <c r="C864" s="458"/>
      <c r="D864" s="458"/>
      <c r="E864" s="458"/>
      <c r="F864" s="458"/>
    </row>
    <row r="865" ht="15.75" customHeight="1">
      <c r="A865" s="458"/>
      <c r="B865" s="458"/>
      <c r="C865" s="458"/>
      <c r="D865" s="458"/>
      <c r="E865" s="458"/>
      <c r="F865" s="458"/>
    </row>
    <row r="866" ht="15.75" customHeight="1">
      <c r="A866" s="458"/>
      <c r="B866" s="458"/>
      <c r="C866" s="458"/>
      <c r="D866" s="458"/>
      <c r="E866" s="458"/>
      <c r="F866" s="458"/>
    </row>
    <row r="867" ht="15.75" customHeight="1">
      <c r="A867" s="458"/>
      <c r="B867" s="458"/>
      <c r="C867" s="458"/>
      <c r="D867" s="458"/>
      <c r="E867" s="458"/>
      <c r="F867" s="458"/>
    </row>
    <row r="868" ht="15.75" customHeight="1">
      <c r="A868" s="458"/>
      <c r="B868" s="458"/>
      <c r="C868" s="458"/>
      <c r="D868" s="458"/>
      <c r="E868" s="458"/>
      <c r="F868" s="458"/>
    </row>
    <row r="869" ht="15.75" customHeight="1">
      <c r="A869" s="458"/>
      <c r="B869" s="458"/>
      <c r="C869" s="458"/>
      <c r="D869" s="458"/>
      <c r="E869" s="458"/>
      <c r="F869" s="458"/>
    </row>
    <row r="870" ht="15.75" customHeight="1">
      <c r="A870" s="458"/>
      <c r="B870" s="458"/>
      <c r="C870" s="458"/>
      <c r="D870" s="458"/>
      <c r="E870" s="458"/>
      <c r="F870" s="458"/>
    </row>
    <row r="871" ht="15.75" customHeight="1">
      <c r="A871" s="458"/>
      <c r="B871" s="458"/>
      <c r="C871" s="458"/>
      <c r="D871" s="458"/>
      <c r="E871" s="458"/>
      <c r="F871" s="458"/>
    </row>
    <row r="872" ht="15.75" customHeight="1">
      <c r="A872" s="458"/>
      <c r="B872" s="458"/>
      <c r="C872" s="458"/>
      <c r="D872" s="458"/>
      <c r="E872" s="458"/>
      <c r="F872" s="458"/>
    </row>
    <row r="873" ht="15.75" customHeight="1">
      <c r="A873" s="458"/>
      <c r="B873" s="458"/>
      <c r="C873" s="458"/>
      <c r="D873" s="458"/>
      <c r="E873" s="458"/>
      <c r="F873" s="458"/>
    </row>
    <row r="874" ht="15.75" customHeight="1">
      <c r="A874" s="458"/>
      <c r="B874" s="458"/>
      <c r="C874" s="458"/>
      <c r="D874" s="458"/>
      <c r="E874" s="458"/>
      <c r="F874" s="458"/>
    </row>
    <row r="875" ht="15.75" customHeight="1">
      <c r="A875" s="458"/>
      <c r="B875" s="458"/>
      <c r="C875" s="458"/>
      <c r="D875" s="458"/>
      <c r="E875" s="458"/>
      <c r="F875" s="458"/>
    </row>
    <row r="876" ht="15.75" customHeight="1">
      <c r="A876" s="458"/>
      <c r="B876" s="458"/>
      <c r="C876" s="458"/>
      <c r="D876" s="458"/>
      <c r="E876" s="458"/>
      <c r="F876" s="458"/>
    </row>
    <row r="877" ht="15.75" customHeight="1">
      <c r="A877" s="458"/>
      <c r="B877" s="458"/>
      <c r="C877" s="458"/>
      <c r="D877" s="458"/>
      <c r="E877" s="458"/>
      <c r="F877" s="458"/>
    </row>
    <row r="878" ht="15.75" customHeight="1">
      <c r="A878" s="458"/>
      <c r="B878" s="458"/>
      <c r="C878" s="458"/>
      <c r="D878" s="458"/>
      <c r="E878" s="458"/>
      <c r="F878" s="458"/>
    </row>
    <row r="879" ht="15.75" customHeight="1">
      <c r="A879" s="458"/>
      <c r="B879" s="458"/>
      <c r="C879" s="458"/>
      <c r="D879" s="458"/>
      <c r="E879" s="458"/>
      <c r="F879" s="458"/>
    </row>
    <row r="880" ht="15.75" customHeight="1">
      <c r="A880" s="458"/>
      <c r="B880" s="458"/>
      <c r="C880" s="458"/>
      <c r="D880" s="458"/>
      <c r="E880" s="458"/>
      <c r="F880" s="458"/>
    </row>
    <row r="881" ht="15.75" customHeight="1">
      <c r="A881" s="458"/>
      <c r="B881" s="458"/>
      <c r="C881" s="458"/>
      <c r="D881" s="458"/>
      <c r="E881" s="458"/>
      <c r="F881" s="458"/>
    </row>
    <row r="882" ht="15.75" customHeight="1">
      <c r="A882" s="458"/>
      <c r="B882" s="458"/>
      <c r="C882" s="458"/>
      <c r="D882" s="458"/>
      <c r="E882" s="458"/>
      <c r="F882" s="458"/>
    </row>
    <row r="883" ht="15.75" customHeight="1">
      <c r="A883" s="458"/>
      <c r="B883" s="458"/>
      <c r="C883" s="458"/>
      <c r="D883" s="458"/>
      <c r="E883" s="458"/>
      <c r="F883" s="458"/>
    </row>
    <row r="884" ht="15.75" customHeight="1">
      <c r="A884" s="458"/>
      <c r="B884" s="458"/>
      <c r="C884" s="458"/>
      <c r="D884" s="458"/>
      <c r="E884" s="458"/>
      <c r="F884" s="458"/>
    </row>
    <row r="885" ht="15.75" customHeight="1">
      <c r="A885" s="458"/>
      <c r="B885" s="458"/>
      <c r="C885" s="458"/>
      <c r="D885" s="458"/>
      <c r="E885" s="458"/>
      <c r="F885" s="458"/>
    </row>
    <row r="886" ht="15.75" customHeight="1">
      <c r="A886" s="458"/>
      <c r="B886" s="458"/>
      <c r="C886" s="458"/>
      <c r="D886" s="458"/>
      <c r="E886" s="458"/>
      <c r="F886" s="458"/>
    </row>
    <row r="887" ht="15.75" customHeight="1">
      <c r="A887" s="458"/>
      <c r="B887" s="458"/>
      <c r="C887" s="458"/>
      <c r="D887" s="458"/>
      <c r="E887" s="458"/>
      <c r="F887" s="458"/>
    </row>
    <row r="888" ht="15.75" customHeight="1">
      <c r="A888" s="458"/>
      <c r="B888" s="458"/>
      <c r="C888" s="458"/>
      <c r="D888" s="458"/>
      <c r="E888" s="458"/>
      <c r="F888" s="458"/>
    </row>
    <row r="889" ht="15.75" customHeight="1">
      <c r="A889" s="458"/>
      <c r="B889" s="458"/>
      <c r="C889" s="458"/>
      <c r="D889" s="458"/>
      <c r="E889" s="458"/>
      <c r="F889" s="458"/>
    </row>
    <row r="890" ht="15.75" customHeight="1">
      <c r="A890" s="458"/>
      <c r="B890" s="458"/>
      <c r="C890" s="458"/>
      <c r="D890" s="458"/>
      <c r="E890" s="458"/>
      <c r="F890" s="458"/>
    </row>
    <row r="891" ht="15.75" customHeight="1">
      <c r="A891" s="458"/>
      <c r="B891" s="458"/>
      <c r="C891" s="458"/>
      <c r="D891" s="458"/>
      <c r="E891" s="458"/>
      <c r="F891" s="458"/>
    </row>
    <row r="892" ht="15.75" customHeight="1">
      <c r="A892" s="458"/>
      <c r="B892" s="458"/>
      <c r="C892" s="458"/>
      <c r="D892" s="458"/>
      <c r="E892" s="458"/>
      <c r="F892" s="458"/>
    </row>
    <row r="893" ht="15.75" customHeight="1">
      <c r="A893" s="458"/>
      <c r="B893" s="458"/>
      <c r="C893" s="458"/>
      <c r="D893" s="458"/>
      <c r="E893" s="458"/>
      <c r="F893" s="458"/>
    </row>
    <row r="894" ht="15.75" customHeight="1">
      <c r="A894" s="458"/>
      <c r="B894" s="458"/>
      <c r="C894" s="458"/>
      <c r="D894" s="458"/>
      <c r="E894" s="458"/>
      <c r="F894" s="458"/>
    </row>
    <row r="895" ht="15.75" customHeight="1">
      <c r="A895" s="458"/>
      <c r="B895" s="458"/>
      <c r="C895" s="458"/>
      <c r="D895" s="458"/>
      <c r="E895" s="458"/>
      <c r="F895" s="458"/>
    </row>
    <row r="896" ht="15.75" customHeight="1">
      <c r="A896" s="458"/>
      <c r="B896" s="458"/>
      <c r="C896" s="458"/>
      <c r="D896" s="458"/>
      <c r="E896" s="458"/>
      <c r="F896" s="458"/>
    </row>
    <row r="897" ht="15.75" customHeight="1">
      <c r="A897" s="458"/>
      <c r="B897" s="458"/>
      <c r="C897" s="458"/>
      <c r="D897" s="458"/>
      <c r="E897" s="458"/>
      <c r="F897" s="458"/>
    </row>
    <row r="898" ht="15.75" customHeight="1">
      <c r="A898" s="458"/>
      <c r="B898" s="458"/>
      <c r="C898" s="458"/>
      <c r="D898" s="458"/>
      <c r="E898" s="458"/>
      <c r="F898" s="458"/>
    </row>
    <row r="899" ht="15.75" customHeight="1">
      <c r="A899" s="458"/>
      <c r="B899" s="458"/>
      <c r="C899" s="458"/>
      <c r="D899" s="458"/>
      <c r="E899" s="458"/>
      <c r="F899" s="458"/>
    </row>
    <row r="900" ht="15.75" customHeight="1">
      <c r="A900" s="458"/>
      <c r="B900" s="458"/>
      <c r="C900" s="458"/>
      <c r="D900" s="458"/>
      <c r="E900" s="458"/>
      <c r="F900" s="458"/>
    </row>
    <row r="901" ht="15.75" customHeight="1">
      <c r="A901" s="458"/>
      <c r="B901" s="458"/>
      <c r="C901" s="458"/>
      <c r="D901" s="458"/>
      <c r="E901" s="458"/>
      <c r="F901" s="458"/>
    </row>
    <row r="902" ht="15.75" customHeight="1">
      <c r="A902" s="458"/>
      <c r="B902" s="458"/>
      <c r="C902" s="458"/>
      <c r="D902" s="458"/>
      <c r="E902" s="458"/>
      <c r="F902" s="458"/>
    </row>
    <row r="903" ht="15.75" customHeight="1">
      <c r="A903" s="458"/>
      <c r="B903" s="458"/>
      <c r="C903" s="458"/>
      <c r="D903" s="458"/>
      <c r="E903" s="458"/>
      <c r="F903" s="458"/>
    </row>
    <row r="904" ht="15.75" customHeight="1">
      <c r="A904" s="458"/>
      <c r="B904" s="458"/>
      <c r="C904" s="458"/>
      <c r="D904" s="458"/>
      <c r="E904" s="458"/>
      <c r="F904" s="458"/>
    </row>
    <row r="905" ht="15.75" customHeight="1">
      <c r="A905" s="458"/>
      <c r="B905" s="458"/>
      <c r="C905" s="458"/>
      <c r="D905" s="458"/>
      <c r="E905" s="458"/>
      <c r="F905" s="458"/>
    </row>
    <row r="906" ht="15.75" customHeight="1">
      <c r="A906" s="458"/>
      <c r="B906" s="458"/>
      <c r="C906" s="458"/>
      <c r="D906" s="458"/>
      <c r="E906" s="458"/>
      <c r="F906" s="458"/>
    </row>
    <row r="907" ht="15.75" customHeight="1">
      <c r="A907" s="458"/>
      <c r="B907" s="458"/>
      <c r="C907" s="458"/>
      <c r="D907" s="458"/>
      <c r="E907" s="458"/>
      <c r="F907" s="458"/>
    </row>
    <row r="908" ht="15.75" customHeight="1">
      <c r="A908" s="458"/>
      <c r="B908" s="458"/>
      <c r="C908" s="458"/>
      <c r="D908" s="458"/>
      <c r="E908" s="458"/>
      <c r="F908" s="458"/>
    </row>
    <row r="909" ht="15.75" customHeight="1">
      <c r="A909" s="458"/>
      <c r="B909" s="458"/>
      <c r="C909" s="458"/>
      <c r="D909" s="458"/>
      <c r="E909" s="458"/>
      <c r="F909" s="458"/>
    </row>
    <row r="910" ht="15.75" customHeight="1">
      <c r="A910" s="458"/>
      <c r="B910" s="458"/>
      <c r="C910" s="458"/>
      <c r="D910" s="458"/>
      <c r="E910" s="458"/>
      <c r="F910" s="458"/>
    </row>
    <row r="911" ht="15.75" customHeight="1">
      <c r="A911" s="458"/>
      <c r="B911" s="458"/>
      <c r="C911" s="458"/>
      <c r="D911" s="458"/>
      <c r="E911" s="458"/>
      <c r="F911" s="458"/>
    </row>
    <row r="912" ht="15.75" customHeight="1">
      <c r="A912" s="458"/>
      <c r="B912" s="458"/>
      <c r="C912" s="458"/>
      <c r="D912" s="458"/>
      <c r="E912" s="458"/>
      <c r="F912" s="458"/>
    </row>
    <row r="913" ht="15.75" customHeight="1">
      <c r="A913" s="458"/>
      <c r="B913" s="458"/>
      <c r="C913" s="458"/>
      <c r="D913" s="458"/>
      <c r="E913" s="458"/>
      <c r="F913" s="458"/>
    </row>
    <row r="914" ht="15.75" customHeight="1">
      <c r="A914" s="458"/>
      <c r="B914" s="458"/>
      <c r="C914" s="458"/>
      <c r="D914" s="458"/>
      <c r="E914" s="458"/>
      <c r="F914" s="458"/>
    </row>
    <row r="915" ht="15.75" customHeight="1">
      <c r="A915" s="458"/>
      <c r="B915" s="458"/>
      <c r="C915" s="458"/>
      <c r="D915" s="458"/>
      <c r="E915" s="458"/>
      <c r="F915" s="458"/>
    </row>
    <row r="916" ht="15.75" customHeight="1">
      <c r="A916" s="458"/>
      <c r="B916" s="458"/>
      <c r="C916" s="458"/>
      <c r="D916" s="458"/>
      <c r="E916" s="458"/>
      <c r="F916" s="458"/>
    </row>
    <row r="917" ht="15.75" customHeight="1">
      <c r="A917" s="458"/>
      <c r="B917" s="458"/>
      <c r="C917" s="458"/>
      <c r="D917" s="458"/>
      <c r="E917" s="458"/>
      <c r="F917" s="458"/>
    </row>
    <row r="918" ht="15.75" customHeight="1">
      <c r="A918" s="458"/>
      <c r="B918" s="458"/>
      <c r="C918" s="458"/>
      <c r="D918" s="458"/>
      <c r="E918" s="458"/>
      <c r="F918" s="458"/>
    </row>
    <row r="919" ht="15.75" customHeight="1">
      <c r="A919" s="458"/>
      <c r="B919" s="458"/>
      <c r="C919" s="458"/>
      <c r="D919" s="458"/>
      <c r="E919" s="458"/>
      <c r="F919" s="458"/>
    </row>
    <row r="920" ht="15.75" customHeight="1">
      <c r="A920" s="458"/>
      <c r="B920" s="458"/>
      <c r="C920" s="458"/>
      <c r="D920" s="458"/>
      <c r="E920" s="458"/>
      <c r="F920" s="458"/>
    </row>
    <row r="921" ht="15.75" customHeight="1">
      <c r="A921" s="458"/>
      <c r="B921" s="458"/>
      <c r="C921" s="458"/>
      <c r="D921" s="458"/>
      <c r="E921" s="458"/>
      <c r="F921" s="458"/>
    </row>
    <row r="922" ht="15.75" customHeight="1">
      <c r="A922" s="458"/>
      <c r="B922" s="458"/>
      <c r="C922" s="458"/>
      <c r="D922" s="458"/>
      <c r="E922" s="458"/>
      <c r="F922" s="458"/>
    </row>
    <row r="923" ht="15.75" customHeight="1">
      <c r="A923" s="458"/>
      <c r="B923" s="458"/>
      <c r="C923" s="458"/>
      <c r="D923" s="458"/>
      <c r="E923" s="458"/>
      <c r="F923" s="458"/>
    </row>
    <row r="924" ht="15.75" customHeight="1">
      <c r="A924" s="458"/>
      <c r="B924" s="458"/>
      <c r="C924" s="458"/>
      <c r="D924" s="458"/>
      <c r="E924" s="458"/>
      <c r="F924" s="458"/>
    </row>
    <row r="925" ht="15.75" customHeight="1">
      <c r="A925" s="458"/>
      <c r="B925" s="458"/>
      <c r="C925" s="458"/>
      <c r="D925" s="458"/>
      <c r="E925" s="458"/>
      <c r="F925" s="458"/>
    </row>
    <row r="926" ht="15.75" customHeight="1">
      <c r="A926" s="458"/>
      <c r="B926" s="458"/>
      <c r="C926" s="458"/>
      <c r="D926" s="458"/>
      <c r="E926" s="458"/>
      <c r="F926" s="458"/>
    </row>
    <row r="927" ht="15.75" customHeight="1">
      <c r="A927" s="458"/>
      <c r="B927" s="458"/>
      <c r="C927" s="458"/>
      <c r="D927" s="458"/>
      <c r="E927" s="458"/>
      <c r="F927" s="458"/>
    </row>
    <row r="928" ht="15.75" customHeight="1">
      <c r="A928" s="458"/>
      <c r="B928" s="458"/>
      <c r="C928" s="458"/>
      <c r="D928" s="458"/>
      <c r="E928" s="458"/>
      <c r="F928" s="458"/>
    </row>
    <row r="929" ht="15.75" customHeight="1">
      <c r="A929" s="458"/>
      <c r="B929" s="458"/>
      <c r="C929" s="458"/>
      <c r="D929" s="458"/>
      <c r="E929" s="458"/>
      <c r="F929" s="458"/>
    </row>
    <row r="930" ht="15.75" customHeight="1">
      <c r="A930" s="458"/>
      <c r="B930" s="458"/>
      <c r="C930" s="458"/>
      <c r="D930" s="458"/>
      <c r="E930" s="458"/>
      <c r="F930" s="458"/>
    </row>
    <row r="931" ht="15.75" customHeight="1">
      <c r="A931" s="458"/>
      <c r="B931" s="458"/>
      <c r="C931" s="458"/>
      <c r="D931" s="458"/>
      <c r="E931" s="458"/>
      <c r="F931" s="458"/>
    </row>
    <row r="932" ht="15.75" customHeight="1">
      <c r="A932" s="458"/>
      <c r="B932" s="458"/>
      <c r="C932" s="458"/>
      <c r="D932" s="458"/>
      <c r="E932" s="458"/>
      <c r="F932" s="458"/>
    </row>
    <row r="933" ht="15.75" customHeight="1">
      <c r="A933" s="458"/>
      <c r="B933" s="458"/>
      <c r="C933" s="458"/>
      <c r="D933" s="458"/>
      <c r="E933" s="458"/>
      <c r="F933" s="458"/>
    </row>
    <row r="934" ht="15.75" customHeight="1">
      <c r="A934" s="458"/>
      <c r="B934" s="458"/>
      <c r="C934" s="458"/>
      <c r="D934" s="458"/>
      <c r="E934" s="458"/>
      <c r="F934" s="458"/>
    </row>
    <row r="935" ht="15.75" customHeight="1">
      <c r="A935" s="458"/>
      <c r="B935" s="458"/>
      <c r="C935" s="458"/>
      <c r="D935" s="458"/>
      <c r="E935" s="458"/>
      <c r="F935" s="458"/>
    </row>
    <row r="936" ht="15.75" customHeight="1">
      <c r="A936" s="458"/>
      <c r="B936" s="458"/>
      <c r="C936" s="458"/>
      <c r="D936" s="458"/>
      <c r="E936" s="458"/>
      <c r="F936" s="458"/>
    </row>
    <row r="937" ht="15.75" customHeight="1">
      <c r="A937" s="458"/>
      <c r="B937" s="458"/>
      <c r="C937" s="458"/>
      <c r="D937" s="458"/>
      <c r="E937" s="458"/>
      <c r="F937" s="458"/>
    </row>
    <row r="938" ht="15.75" customHeight="1">
      <c r="A938" s="458"/>
      <c r="B938" s="458"/>
      <c r="C938" s="458"/>
      <c r="D938" s="458"/>
      <c r="E938" s="458"/>
      <c r="F938" s="458"/>
    </row>
    <row r="939" ht="15.75" customHeight="1">
      <c r="A939" s="458"/>
      <c r="B939" s="458"/>
      <c r="C939" s="458"/>
      <c r="D939" s="458"/>
      <c r="E939" s="458"/>
      <c r="F939" s="458"/>
    </row>
    <row r="940" ht="15.75" customHeight="1">
      <c r="A940" s="458"/>
      <c r="B940" s="458"/>
      <c r="C940" s="458"/>
      <c r="D940" s="458"/>
      <c r="E940" s="458"/>
      <c r="F940" s="458"/>
    </row>
    <row r="941" ht="15.75" customHeight="1">
      <c r="A941" s="458"/>
      <c r="B941" s="458"/>
      <c r="C941" s="458"/>
      <c r="D941" s="458"/>
      <c r="E941" s="458"/>
      <c r="F941" s="458"/>
    </row>
    <row r="942" ht="15.75" customHeight="1">
      <c r="A942" s="458"/>
      <c r="B942" s="458"/>
      <c r="C942" s="458"/>
      <c r="D942" s="458"/>
      <c r="E942" s="458"/>
      <c r="F942" s="458"/>
    </row>
    <row r="943" ht="15.75" customHeight="1">
      <c r="A943" s="458"/>
      <c r="B943" s="458"/>
      <c r="C943" s="458"/>
      <c r="D943" s="458"/>
      <c r="E943" s="458"/>
      <c r="F943" s="458"/>
    </row>
    <row r="944" ht="15.75" customHeight="1">
      <c r="A944" s="458"/>
      <c r="B944" s="458"/>
      <c r="C944" s="458"/>
      <c r="D944" s="458"/>
      <c r="E944" s="458"/>
      <c r="F944" s="458"/>
    </row>
    <row r="945" ht="15.75" customHeight="1">
      <c r="A945" s="458"/>
      <c r="B945" s="458"/>
      <c r="C945" s="458"/>
      <c r="D945" s="458"/>
      <c r="E945" s="458"/>
      <c r="F945" s="458"/>
    </row>
    <row r="946" ht="15.75" customHeight="1">
      <c r="A946" s="458"/>
      <c r="B946" s="458"/>
      <c r="C946" s="458"/>
      <c r="D946" s="458"/>
      <c r="E946" s="458"/>
      <c r="F946" s="458"/>
    </row>
    <row r="947" ht="15.75" customHeight="1">
      <c r="A947" s="458"/>
      <c r="B947" s="458"/>
      <c r="C947" s="458"/>
      <c r="D947" s="458"/>
      <c r="E947" s="458"/>
      <c r="F947" s="458"/>
    </row>
    <row r="948" ht="15.75" customHeight="1">
      <c r="A948" s="458"/>
      <c r="B948" s="458"/>
      <c r="C948" s="458"/>
      <c r="D948" s="458"/>
      <c r="E948" s="458"/>
      <c r="F948" s="458"/>
    </row>
    <row r="949" ht="15.75" customHeight="1">
      <c r="A949" s="458"/>
      <c r="B949" s="458"/>
      <c r="C949" s="458"/>
      <c r="D949" s="458"/>
      <c r="E949" s="458"/>
      <c r="F949" s="458"/>
    </row>
    <row r="950" ht="15.75" customHeight="1">
      <c r="A950" s="458"/>
      <c r="B950" s="458"/>
      <c r="C950" s="458"/>
      <c r="D950" s="458"/>
      <c r="E950" s="458"/>
      <c r="F950" s="458"/>
    </row>
    <row r="951" ht="15.75" customHeight="1">
      <c r="A951" s="458"/>
      <c r="B951" s="458"/>
      <c r="C951" s="458"/>
      <c r="D951" s="458"/>
      <c r="E951" s="458"/>
      <c r="F951" s="458"/>
    </row>
    <row r="952" ht="15.75" customHeight="1">
      <c r="A952" s="458"/>
      <c r="B952" s="458"/>
      <c r="C952" s="458"/>
      <c r="D952" s="458"/>
      <c r="E952" s="458"/>
      <c r="F952" s="458"/>
    </row>
    <row r="953" ht="15.75" customHeight="1">
      <c r="A953" s="458"/>
      <c r="B953" s="458"/>
      <c r="C953" s="458"/>
      <c r="D953" s="458"/>
      <c r="E953" s="458"/>
      <c r="F953" s="458"/>
    </row>
    <row r="954" ht="15.75" customHeight="1">
      <c r="A954" s="458"/>
      <c r="B954" s="458"/>
      <c r="C954" s="458"/>
      <c r="D954" s="458"/>
      <c r="E954" s="458"/>
      <c r="F954" s="458"/>
    </row>
    <row r="955" ht="15.75" customHeight="1">
      <c r="A955" s="458"/>
      <c r="B955" s="458"/>
      <c r="C955" s="458"/>
      <c r="D955" s="458"/>
      <c r="E955" s="458"/>
      <c r="F955" s="458"/>
    </row>
    <row r="956" ht="15.75" customHeight="1">
      <c r="A956" s="458"/>
      <c r="B956" s="458"/>
      <c r="C956" s="458"/>
      <c r="D956" s="458"/>
      <c r="E956" s="458"/>
      <c r="F956" s="458"/>
    </row>
    <row r="957" ht="15.75" customHeight="1">
      <c r="A957" s="458"/>
      <c r="B957" s="458"/>
      <c r="C957" s="458"/>
      <c r="D957" s="458"/>
      <c r="E957" s="458"/>
      <c r="F957" s="458"/>
    </row>
    <row r="958" ht="15.75" customHeight="1">
      <c r="A958" s="458"/>
      <c r="B958" s="458"/>
      <c r="C958" s="458"/>
      <c r="D958" s="458"/>
      <c r="E958" s="458"/>
      <c r="F958" s="458"/>
    </row>
    <row r="959" ht="15.75" customHeight="1">
      <c r="A959" s="458"/>
      <c r="B959" s="458"/>
      <c r="C959" s="458"/>
      <c r="D959" s="458"/>
      <c r="E959" s="458"/>
      <c r="F959" s="458"/>
    </row>
    <row r="960" ht="15.75" customHeight="1">
      <c r="A960" s="458"/>
      <c r="B960" s="458"/>
      <c r="C960" s="458"/>
      <c r="D960" s="458"/>
      <c r="E960" s="458"/>
      <c r="F960" s="458"/>
    </row>
    <row r="961" ht="15.75" customHeight="1">
      <c r="A961" s="458"/>
      <c r="B961" s="458"/>
      <c r="C961" s="458"/>
      <c r="D961" s="458"/>
      <c r="E961" s="458"/>
      <c r="F961" s="458"/>
    </row>
    <row r="962" ht="15.75" customHeight="1">
      <c r="A962" s="458"/>
      <c r="B962" s="458"/>
      <c r="C962" s="458"/>
      <c r="D962" s="458"/>
      <c r="E962" s="458"/>
      <c r="F962" s="458"/>
    </row>
    <row r="963" ht="15.75" customHeight="1">
      <c r="A963" s="458"/>
      <c r="B963" s="458"/>
      <c r="C963" s="458"/>
      <c r="D963" s="458"/>
      <c r="E963" s="458"/>
      <c r="F963" s="458"/>
    </row>
    <row r="964" ht="15.75" customHeight="1">
      <c r="A964" s="458"/>
      <c r="B964" s="458"/>
      <c r="C964" s="458"/>
      <c r="D964" s="458"/>
      <c r="E964" s="458"/>
      <c r="F964" s="458"/>
    </row>
    <row r="965" ht="15.75" customHeight="1">
      <c r="A965" s="458"/>
      <c r="B965" s="458"/>
      <c r="C965" s="458"/>
      <c r="D965" s="458"/>
      <c r="E965" s="458"/>
      <c r="F965" s="458"/>
    </row>
    <row r="966" ht="15.75" customHeight="1">
      <c r="A966" s="458"/>
      <c r="B966" s="458"/>
      <c r="C966" s="458"/>
      <c r="D966" s="458"/>
      <c r="E966" s="458"/>
      <c r="F966" s="458"/>
    </row>
    <row r="967" ht="15.75" customHeight="1">
      <c r="A967" s="458"/>
      <c r="B967" s="458"/>
      <c r="C967" s="458"/>
      <c r="D967" s="458"/>
      <c r="E967" s="458"/>
      <c r="F967" s="458"/>
    </row>
    <row r="968" ht="15.75" customHeight="1">
      <c r="A968" s="458"/>
      <c r="B968" s="458"/>
      <c r="C968" s="458"/>
      <c r="D968" s="458"/>
      <c r="E968" s="458"/>
      <c r="F968" s="458"/>
    </row>
    <row r="969" ht="15.75" customHeight="1">
      <c r="A969" s="458"/>
      <c r="B969" s="458"/>
      <c r="C969" s="458"/>
      <c r="D969" s="458"/>
      <c r="E969" s="458"/>
      <c r="F969" s="458"/>
    </row>
    <row r="970" ht="15.75" customHeight="1">
      <c r="A970" s="458"/>
      <c r="B970" s="458"/>
      <c r="C970" s="458"/>
      <c r="D970" s="458"/>
      <c r="E970" s="458"/>
      <c r="F970" s="458"/>
    </row>
    <row r="971" ht="15.75" customHeight="1">
      <c r="A971" s="458"/>
      <c r="B971" s="458"/>
      <c r="C971" s="458"/>
      <c r="D971" s="458"/>
      <c r="E971" s="458"/>
      <c r="F971" s="458"/>
    </row>
    <row r="972" ht="15.75" customHeight="1">
      <c r="A972" s="458"/>
      <c r="B972" s="458"/>
      <c r="C972" s="458"/>
      <c r="D972" s="458"/>
      <c r="E972" s="458"/>
      <c r="F972" s="458"/>
    </row>
    <row r="973" ht="15.75" customHeight="1">
      <c r="A973" s="458"/>
      <c r="B973" s="458"/>
      <c r="C973" s="458"/>
      <c r="D973" s="458"/>
      <c r="E973" s="458"/>
      <c r="F973" s="458"/>
    </row>
    <row r="974" ht="15.75" customHeight="1">
      <c r="A974" s="458"/>
      <c r="B974" s="458"/>
      <c r="C974" s="458"/>
      <c r="D974" s="458"/>
      <c r="E974" s="458"/>
      <c r="F974" s="458"/>
    </row>
    <row r="975" ht="15.75" customHeight="1">
      <c r="A975" s="458"/>
      <c r="B975" s="458"/>
      <c r="C975" s="458"/>
      <c r="D975" s="458"/>
      <c r="E975" s="458"/>
      <c r="F975" s="458"/>
    </row>
    <row r="976" ht="15.75" customHeight="1">
      <c r="A976" s="458"/>
      <c r="B976" s="458"/>
      <c r="C976" s="458"/>
      <c r="D976" s="458"/>
      <c r="E976" s="458"/>
      <c r="F976" s="458"/>
    </row>
    <row r="977" ht="15.75" customHeight="1">
      <c r="A977" s="458"/>
      <c r="B977" s="458"/>
      <c r="C977" s="458"/>
      <c r="D977" s="458"/>
      <c r="E977" s="458"/>
      <c r="F977" s="458"/>
    </row>
    <row r="978" ht="15.75" customHeight="1">
      <c r="A978" s="458"/>
      <c r="B978" s="458"/>
      <c r="C978" s="458"/>
      <c r="D978" s="458"/>
      <c r="E978" s="458"/>
      <c r="F978" s="458"/>
    </row>
    <row r="979" ht="15.75" customHeight="1">
      <c r="A979" s="458"/>
      <c r="B979" s="458"/>
      <c r="C979" s="458"/>
      <c r="D979" s="458"/>
      <c r="E979" s="458"/>
      <c r="F979" s="458"/>
    </row>
    <row r="980" ht="15.75" customHeight="1">
      <c r="A980" s="458"/>
      <c r="B980" s="458"/>
      <c r="C980" s="458"/>
      <c r="D980" s="458"/>
      <c r="E980" s="458"/>
      <c r="F980" s="458"/>
    </row>
    <row r="981" ht="15.75" customHeight="1">
      <c r="A981" s="458"/>
      <c r="B981" s="458"/>
      <c r="C981" s="458"/>
      <c r="D981" s="458"/>
      <c r="E981" s="458"/>
      <c r="F981" s="458"/>
    </row>
    <row r="982" ht="15.75" customHeight="1">
      <c r="A982" s="458"/>
      <c r="B982" s="458"/>
      <c r="C982" s="458"/>
      <c r="D982" s="458"/>
      <c r="E982" s="458"/>
      <c r="F982" s="458"/>
    </row>
    <row r="983" ht="15.75" customHeight="1">
      <c r="A983" s="458"/>
      <c r="B983" s="458"/>
      <c r="C983" s="458"/>
      <c r="D983" s="458"/>
      <c r="E983" s="458"/>
      <c r="F983" s="458"/>
    </row>
    <row r="984" ht="15.75" customHeight="1">
      <c r="A984" s="458"/>
      <c r="B984" s="458"/>
      <c r="C984" s="458"/>
      <c r="D984" s="458"/>
      <c r="E984" s="458"/>
      <c r="F984" s="458"/>
    </row>
    <row r="985" ht="15.75" customHeight="1">
      <c r="A985" s="458"/>
      <c r="B985" s="458"/>
      <c r="C985" s="458"/>
      <c r="D985" s="458"/>
      <c r="E985" s="458"/>
      <c r="F985" s="458"/>
    </row>
    <row r="986" ht="15.75" customHeight="1">
      <c r="A986" s="458"/>
      <c r="B986" s="458"/>
      <c r="C986" s="458"/>
      <c r="D986" s="458"/>
      <c r="E986" s="458"/>
      <c r="F986" s="458"/>
    </row>
    <row r="987" ht="15.75" customHeight="1">
      <c r="A987" s="458"/>
      <c r="B987" s="458"/>
      <c r="C987" s="458"/>
      <c r="D987" s="458"/>
      <c r="E987" s="458"/>
      <c r="F987" s="458"/>
    </row>
    <row r="988" ht="15.75" customHeight="1">
      <c r="A988" s="458"/>
      <c r="B988" s="458"/>
      <c r="C988" s="458"/>
      <c r="D988" s="458"/>
      <c r="E988" s="458"/>
      <c r="F988" s="458"/>
    </row>
    <row r="989" ht="15.75" customHeight="1">
      <c r="A989" s="458"/>
      <c r="B989" s="458"/>
      <c r="C989" s="458"/>
      <c r="D989" s="458"/>
      <c r="E989" s="458"/>
      <c r="F989" s="458"/>
    </row>
    <row r="990" ht="15.75" customHeight="1">
      <c r="A990" s="458"/>
      <c r="B990" s="458"/>
      <c r="C990" s="458"/>
      <c r="D990" s="458"/>
      <c r="E990" s="458"/>
      <c r="F990" s="458"/>
    </row>
    <row r="991" ht="15.75" customHeight="1">
      <c r="A991" s="458"/>
      <c r="B991" s="458"/>
      <c r="C991" s="458"/>
      <c r="D991" s="458"/>
      <c r="E991" s="458"/>
      <c r="F991" s="458"/>
    </row>
    <row r="992" ht="15.75" customHeight="1">
      <c r="A992" s="458"/>
      <c r="B992" s="458"/>
      <c r="C992" s="458"/>
      <c r="D992" s="458"/>
      <c r="E992" s="458"/>
      <c r="F992" s="458"/>
    </row>
    <row r="993" ht="15.75" customHeight="1">
      <c r="A993" s="458"/>
      <c r="B993" s="458"/>
      <c r="C993" s="458"/>
      <c r="D993" s="458"/>
      <c r="E993" s="458"/>
      <c r="F993" s="458"/>
    </row>
    <row r="994" ht="15.75" customHeight="1">
      <c r="A994" s="458"/>
      <c r="B994" s="458"/>
      <c r="C994" s="458"/>
      <c r="D994" s="458"/>
      <c r="E994" s="458"/>
      <c r="F994" s="458"/>
    </row>
    <row r="995" ht="15.75" customHeight="1">
      <c r="A995" s="458"/>
      <c r="B995" s="458"/>
      <c r="C995" s="458"/>
      <c r="D995" s="458"/>
      <c r="E995" s="458"/>
      <c r="F995" s="458"/>
    </row>
    <row r="996" ht="15.75" customHeight="1">
      <c r="A996" s="458"/>
      <c r="B996" s="458"/>
      <c r="C996" s="458"/>
      <c r="D996" s="458"/>
      <c r="E996" s="458"/>
      <c r="F996" s="458"/>
    </row>
    <row r="997" ht="15.75" customHeight="1">
      <c r="A997" s="458"/>
      <c r="B997" s="458"/>
      <c r="C997" s="458"/>
      <c r="D997" s="458"/>
      <c r="E997" s="458"/>
      <c r="F997" s="458"/>
    </row>
    <row r="998" ht="15.75" customHeight="1">
      <c r="A998" s="458"/>
      <c r="B998" s="458"/>
      <c r="C998" s="458"/>
      <c r="D998" s="458"/>
      <c r="E998" s="458"/>
      <c r="F998" s="458"/>
    </row>
    <row r="999" ht="15.75" customHeight="1">
      <c r="A999" s="458"/>
      <c r="B999" s="458"/>
      <c r="C999" s="458"/>
      <c r="D999" s="458"/>
      <c r="E999" s="458"/>
      <c r="F999" s="458"/>
    </row>
    <row r="1000" ht="15.75" customHeight="1">
      <c r="A1000" s="458"/>
      <c r="B1000" s="458"/>
      <c r="C1000" s="458"/>
      <c r="D1000" s="458"/>
      <c r="E1000" s="458"/>
      <c r="F1000" s="458"/>
    </row>
    <row r="1001" ht="15.75" customHeight="1">
      <c r="A1001" s="458"/>
      <c r="B1001" s="458"/>
      <c r="C1001" s="458"/>
      <c r="D1001" s="458"/>
      <c r="E1001" s="458"/>
      <c r="F1001" s="458"/>
    </row>
  </sheetData>
  <mergeCells count="5">
    <mergeCell ref="A1:H1"/>
    <mergeCell ref="A2:H2"/>
    <mergeCell ref="A3:C3"/>
    <mergeCell ref="D3:H3"/>
    <mergeCell ref="A102:D102"/>
  </mergeCells>
  <conditionalFormatting sqref="G5:G45">
    <cfRule type="cellIs" dxfId="2" priority="1" operator="lessThan">
      <formula>0</formula>
    </cfRule>
  </conditionalFormatting>
  <conditionalFormatting sqref="G5:G101">
    <cfRule type="cellIs" dxfId="2" priority="2" operator="lessThan">
      <formula>0</formula>
    </cfRule>
  </conditionalFormatting>
  <dataValidations>
    <dataValidation type="list" allowBlank="1" sqref="C5:C101">
      <formula1>"Cobro Cliente,Pago Contratista,Pago Proveedor,Honorarios,Gasto General,Otro Ingreso,Otro Egreso"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73.14"/>
    <col customWidth="1" min="2" max="26" width="65.43"/>
  </cols>
  <sheetData>
    <row r="1">
      <c r="A1" s="425" t="s">
        <v>349</v>
      </c>
      <c r="B1" s="426"/>
      <c r="C1" s="426"/>
      <c r="D1" s="426"/>
      <c r="E1" s="426"/>
      <c r="F1" s="426"/>
      <c r="G1" s="427"/>
    </row>
    <row r="2">
      <c r="A2" s="428" t="s">
        <v>350</v>
      </c>
      <c r="B2" s="429"/>
      <c r="C2" s="429"/>
      <c r="D2" s="429"/>
      <c r="E2" s="429"/>
      <c r="F2" s="429"/>
      <c r="G2" s="430"/>
    </row>
    <row r="4">
      <c r="A4" s="431" t="s">
        <v>351</v>
      </c>
      <c r="B4" s="432"/>
      <c r="C4" s="432"/>
      <c r="D4" s="432"/>
      <c r="E4" s="432"/>
      <c r="F4" s="432"/>
      <c r="G4" s="432"/>
    </row>
    <row r="5">
      <c r="A5" s="433" t="s">
        <v>260</v>
      </c>
      <c r="B5" s="434"/>
      <c r="C5" s="434"/>
      <c r="D5" s="434"/>
      <c r="E5" s="435" t="s">
        <v>352</v>
      </c>
      <c r="F5" s="435" t="s">
        <v>353</v>
      </c>
      <c r="G5" s="436" t="s">
        <v>354</v>
      </c>
    </row>
    <row r="6">
      <c r="A6" s="438" t="s">
        <v>341</v>
      </c>
      <c r="B6" s="439"/>
      <c r="C6" s="405"/>
      <c r="D6" s="440"/>
      <c r="E6" s="441">
        <v>5.0</v>
      </c>
      <c r="F6" s="442" t="s">
        <v>356</v>
      </c>
      <c r="G6" s="444" t="s">
        <v>358</v>
      </c>
    </row>
    <row r="7">
      <c r="A7" s="438" t="s">
        <v>360</v>
      </c>
      <c r="B7" s="439"/>
      <c r="C7" s="405"/>
      <c r="D7" s="440"/>
      <c r="E7" s="441">
        <v>2.0</v>
      </c>
      <c r="F7" s="442" t="s">
        <v>362</v>
      </c>
      <c r="G7" s="444" t="s">
        <v>363</v>
      </c>
    </row>
    <row r="8">
      <c r="A8" s="438" t="s">
        <v>364</v>
      </c>
      <c r="B8" s="439"/>
      <c r="C8" s="405"/>
      <c r="D8" s="440"/>
      <c r="E8" s="408"/>
      <c r="F8" s="449"/>
      <c r="G8" s="444" t="s">
        <v>365</v>
      </c>
    </row>
    <row r="9">
      <c r="A9" s="451"/>
      <c r="B9" s="434"/>
      <c r="C9" s="434"/>
      <c r="D9" s="434"/>
      <c r="E9" s="434"/>
      <c r="F9" s="434"/>
      <c r="G9" s="454"/>
    </row>
    <row r="10">
      <c r="A10" s="438" t="s">
        <v>368</v>
      </c>
      <c r="B10" s="439"/>
      <c r="C10" s="405"/>
      <c r="D10" s="440"/>
      <c r="E10" s="408"/>
      <c r="F10" s="449"/>
      <c r="G10" s="456"/>
    </row>
    <row r="11">
      <c r="A11" s="438" t="s">
        <v>370</v>
      </c>
      <c r="B11" s="439"/>
      <c r="C11" s="438" t="s">
        <v>371</v>
      </c>
      <c r="D11" s="440"/>
      <c r="E11" s="408"/>
      <c r="F11" s="442" t="s">
        <v>372</v>
      </c>
      <c r="G11" s="444" t="s">
        <v>373</v>
      </c>
    </row>
    <row r="12">
      <c r="A12" s="438" t="s">
        <v>374</v>
      </c>
      <c r="B12" s="439"/>
      <c r="C12" s="438" t="s">
        <v>375</v>
      </c>
      <c r="D12" s="440"/>
      <c r="E12" s="408"/>
      <c r="F12" s="442" t="s">
        <v>377</v>
      </c>
      <c r="G12" s="444" t="s">
        <v>341</v>
      </c>
    </row>
    <row r="13">
      <c r="A13" s="433" t="s">
        <v>378</v>
      </c>
      <c r="B13" s="434"/>
      <c r="C13" s="435" t="s">
        <v>379</v>
      </c>
      <c r="D13" s="434"/>
      <c r="E13" s="434"/>
      <c r="F13" s="442" t="s">
        <v>382</v>
      </c>
      <c r="G13" s="436"/>
    </row>
    <row r="14">
      <c r="A14" s="438" t="s">
        <v>384</v>
      </c>
      <c r="B14" s="439"/>
      <c r="C14" s="405"/>
      <c r="D14" s="440"/>
      <c r="E14" s="408"/>
      <c r="G14" s="456"/>
    </row>
    <row r="15">
      <c r="A15" s="405"/>
      <c r="B15" s="439"/>
      <c r="C15" s="405"/>
      <c r="D15" s="440"/>
      <c r="E15" s="408"/>
      <c r="F15" s="449"/>
      <c r="G15" s="456"/>
    </row>
    <row r="16">
      <c r="A16" s="438" t="s">
        <v>386</v>
      </c>
      <c r="B16" s="439"/>
      <c r="C16" s="405"/>
      <c r="D16" s="440"/>
      <c r="E16" s="408"/>
      <c r="F16" s="449"/>
      <c r="G16" s="456"/>
    </row>
    <row r="17">
      <c r="A17" s="438" t="s">
        <v>387</v>
      </c>
      <c r="B17" s="439"/>
      <c r="C17" s="405"/>
      <c r="D17" s="440"/>
      <c r="E17" s="408"/>
      <c r="F17" s="449"/>
      <c r="G17" s="444" t="s">
        <v>388</v>
      </c>
    </row>
    <row r="18">
      <c r="A18" s="451"/>
      <c r="B18" s="434"/>
      <c r="C18" s="434"/>
      <c r="D18" s="434"/>
      <c r="E18" s="434"/>
      <c r="F18" s="434"/>
      <c r="G18" s="454"/>
    </row>
    <row r="19">
      <c r="A19" s="438" t="s">
        <v>389</v>
      </c>
      <c r="B19" s="439"/>
      <c r="C19" s="405"/>
      <c r="D19" s="440"/>
      <c r="E19" s="408"/>
      <c r="F19" s="449"/>
      <c r="G19" s="456"/>
    </row>
    <row r="20">
      <c r="A20" s="438" t="s">
        <v>370</v>
      </c>
      <c r="B20" s="439"/>
      <c r="C20" s="438" t="s">
        <v>392</v>
      </c>
      <c r="D20" s="440"/>
      <c r="E20" s="408"/>
      <c r="F20" s="442" t="s">
        <v>393</v>
      </c>
      <c r="G20" s="444" t="s">
        <v>373</v>
      </c>
    </row>
    <row r="21" ht="15.75" customHeight="1">
      <c r="A21" s="438" t="s">
        <v>230</v>
      </c>
      <c r="B21" s="439"/>
      <c r="C21" s="438" t="s">
        <v>394</v>
      </c>
      <c r="D21" s="440"/>
      <c r="E21" s="408"/>
      <c r="F21" s="442" t="s">
        <v>395</v>
      </c>
      <c r="G21" s="444" t="s">
        <v>396</v>
      </c>
    </row>
    <row r="22" ht="15.75" customHeight="1">
      <c r="A22" s="433" t="s">
        <v>397</v>
      </c>
      <c r="B22" s="434"/>
      <c r="C22" s="435" t="s">
        <v>398</v>
      </c>
      <c r="D22" s="434"/>
      <c r="E22" s="434"/>
      <c r="F22" s="435" t="s">
        <v>399</v>
      </c>
      <c r="G22" s="436" t="s">
        <v>341</v>
      </c>
    </row>
    <row r="23" ht="15.75" customHeight="1">
      <c r="A23" s="405"/>
      <c r="B23" s="439"/>
      <c r="C23" s="405"/>
      <c r="D23" s="440"/>
      <c r="E23" s="408"/>
      <c r="F23" s="449"/>
      <c r="G23" s="456"/>
    </row>
    <row r="24" ht="15.75" customHeight="1">
      <c r="A24" s="438" t="s">
        <v>346</v>
      </c>
      <c r="B24" s="439"/>
      <c r="C24" s="438" t="s">
        <v>400</v>
      </c>
      <c r="D24" s="440"/>
      <c r="E24" s="408"/>
      <c r="F24" s="442" t="s">
        <v>399</v>
      </c>
      <c r="G24" s="444" t="s">
        <v>341</v>
      </c>
    </row>
    <row r="25" ht="15.75" customHeight="1">
      <c r="A25" s="438" t="s">
        <v>401</v>
      </c>
      <c r="B25" s="439"/>
      <c r="C25" s="438" t="s">
        <v>402</v>
      </c>
      <c r="D25" s="440"/>
      <c r="E25" s="408"/>
      <c r="F25" s="442" t="s">
        <v>403</v>
      </c>
      <c r="G25" s="444" t="s">
        <v>341</v>
      </c>
    </row>
    <row r="26" ht="15.75" customHeight="1">
      <c r="A26" s="433" t="s">
        <v>406</v>
      </c>
      <c r="B26" s="434"/>
      <c r="C26" s="435" t="s">
        <v>407</v>
      </c>
      <c r="D26" s="434"/>
      <c r="E26" s="434"/>
      <c r="F26" s="435" t="s">
        <v>408</v>
      </c>
      <c r="G26" s="436" t="s">
        <v>341</v>
      </c>
    </row>
    <row r="27" ht="15.75" customHeight="1">
      <c r="A27" s="438" t="s">
        <v>409</v>
      </c>
      <c r="B27" s="439"/>
      <c r="C27" s="438" t="s">
        <v>410</v>
      </c>
      <c r="D27" s="440"/>
      <c r="E27" s="408"/>
      <c r="F27" s="442" t="s">
        <v>411</v>
      </c>
      <c r="G27" s="444" t="s">
        <v>341</v>
      </c>
    </row>
    <row r="28" ht="15.75" customHeight="1">
      <c r="A28" s="405"/>
      <c r="B28" s="439"/>
      <c r="C28" s="405"/>
      <c r="D28" s="440"/>
      <c r="E28" s="408"/>
      <c r="F28" s="449"/>
      <c r="G28" s="456"/>
    </row>
    <row r="29" ht="15.75" customHeight="1">
      <c r="A29" s="438" t="s">
        <v>412</v>
      </c>
      <c r="B29" s="439"/>
      <c r="C29" s="405"/>
      <c r="D29" s="440"/>
      <c r="E29" s="408"/>
      <c r="F29" s="442" t="s">
        <v>413</v>
      </c>
      <c r="G29" s="456"/>
    </row>
    <row r="30" ht="15.75" customHeight="1">
      <c r="A30" s="460"/>
      <c r="B30" s="460"/>
      <c r="C30" s="460"/>
      <c r="D30" s="460"/>
      <c r="E30" s="461"/>
      <c r="F30" s="460"/>
      <c r="G30" s="460"/>
    </row>
    <row r="31" ht="15.75" customHeight="1">
      <c r="A31" s="462" t="s">
        <v>414</v>
      </c>
    </row>
    <row r="32" ht="15.75" customHeight="1">
      <c r="A32" s="433" t="s">
        <v>415</v>
      </c>
      <c r="B32" s="434"/>
      <c r="C32" s="434"/>
      <c r="D32" s="434"/>
      <c r="E32" s="434"/>
      <c r="F32" s="434"/>
      <c r="G32" s="436" t="s">
        <v>418</v>
      </c>
    </row>
    <row r="33" ht="15.75" customHeight="1">
      <c r="A33" s="463" t="s">
        <v>419</v>
      </c>
      <c r="B33" s="41"/>
      <c r="C33" s="41"/>
      <c r="D33" s="46"/>
      <c r="E33" s="464">
        <f>904.51+1603.05+1854.3+1818.11+1854.3+1800.04+1721.69</f>
        <v>11556</v>
      </c>
      <c r="F33" s="465"/>
      <c r="G33" s="42"/>
    </row>
    <row r="34" ht="15.75" customHeight="1">
      <c r="A34" s="463" t="s">
        <v>420</v>
      </c>
      <c r="B34" s="41"/>
      <c r="C34" s="41"/>
      <c r="D34" s="46"/>
      <c r="E34" s="464">
        <v>9000.0</v>
      </c>
      <c r="F34" s="465"/>
      <c r="G34" s="42"/>
    </row>
    <row r="35" ht="15.75" customHeight="1">
      <c r="A35" s="463" t="s">
        <v>421</v>
      </c>
      <c r="B35" s="41"/>
      <c r="C35" s="41"/>
      <c r="D35" s="46"/>
      <c r="E35" s="464">
        <v>1800.0</v>
      </c>
      <c r="F35" s="465"/>
      <c r="G35" s="42"/>
    </row>
    <row r="36" ht="16.5" customHeight="1">
      <c r="A36" s="466" t="s">
        <v>422</v>
      </c>
      <c r="B36" s="467"/>
      <c r="C36" s="467"/>
      <c r="D36" s="468"/>
      <c r="E36" s="469">
        <f>E33-E34-E35</f>
        <v>756</v>
      </c>
      <c r="F36" s="465" t="s">
        <v>425</v>
      </c>
      <c r="G36" s="4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3:D33"/>
    <mergeCell ref="F33:G33"/>
    <mergeCell ref="A34:D34"/>
    <mergeCell ref="F34:G34"/>
    <mergeCell ref="A35:D35"/>
    <mergeCell ref="F35:G35"/>
    <mergeCell ref="A36:D36"/>
    <mergeCell ref="F36:G36"/>
  </mergeCells>
  <printOptions/>
  <pageMargins bottom="1.0" footer="0.0" header="0.0" left="0.75" right="0.75" top="1.0"/>
  <pageSetup paperSize="9" orientation="portrait"/>
  <drawing r:id="rId1"/>
</worksheet>
</file>